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Data Analysis\Projects\Unity Public School\"/>
    </mc:Choice>
  </mc:AlternateContent>
  <xr:revisionPtr revIDLastSave="0" documentId="13_ncr:1_{5E505B38-5DDE-4756-9EFC-3711A0C884A2}" xr6:coauthVersionLast="47" xr6:coauthVersionMax="47" xr10:uidLastSave="{00000000-0000-0000-0000-000000000000}"/>
  <bookViews>
    <workbookView xWindow="0" yWindow="0" windowWidth="12000" windowHeight="12900" xr2:uid="{00000000-000D-0000-FFFF-FFFF00000000}"/>
  </bookViews>
  <sheets>
    <sheet name="PRE MID TE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  <c r="K45" i="1"/>
  <c r="K44" i="1"/>
  <c r="K43" i="1"/>
  <c r="K42" i="1"/>
  <c r="K41" i="1"/>
  <c r="K40" i="1"/>
  <c r="O68" i="1"/>
  <c r="M68" i="1"/>
  <c r="K68" i="1"/>
  <c r="I68" i="1"/>
  <c r="G68" i="1"/>
  <c r="E68" i="1"/>
  <c r="P68" i="1" s="1"/>
  <c r="O67" i="1"/>
  <c r="M67" i="1"/>
  <c r="K67" i="1"/>
  <c r="I67" i="1"/>
  <c r="G67" i="1"/>
  <c r="E67" i="1"/>
  <c r="P67" i="1" s="1"/>
  <c r="O66" i="1"/>
  <c r="M66" i="1"/>
  <c r="K66" i="1"/>
  <c r="I66" i="1"/>
  <c r="G66" i="1"/>
  <c r="E66" i="1"/>
  <c r="P66" i="1" s="1"/>
  <c r="O65" i="1"/>
  <c r="M65" i="1"/>
  <c r="K65" i="1"/>
  <c r="I65" i="1"/>
  <c r="G65" i="1"/>
  <c r="P65" i="1" s="1"/>
  <c r="E65" i="1"/>
  <c r="O64" i="1"/>
  <c r="M64" i="1"/>
  <c r="K64" i="1"/>
  <c r="I64" i="1"/>
  <c r="G64" i="1"/>
  <c r="E64" i="1"/>
  <c r="P64" i="1" s="1"/>
  <c r="O63" i="1"/>
  <c r="M63" i="1"/>
  <c r="K63" i="1"/>
  <c r="I63" i="1"/>
  <c r="G63" i="1"/>
  <c r="E63" i="1"/>
  <c r="P63" i="1" s="1"/>
  <c r="O62" i="1"/>
  <c r="M62" i="1"/>
  <c r="K62" i="1"/>
  <c r="I62" i="1"/>
  <c r="P62" i="1" s="1"/>
  <c r="G62" i="1"/>
  <c r="E62" i="1"/>
  <c r="O61" i="1"/>
  <c r="M61" i="1"/>
  <c r="K61" i="1"/>
  <c r="I61" i="1"/>
  <c r="G61" i="1"/>
  <c r="P61" i="1" s="1"/>
  <c r="E61" i="1"/>
  <c r="O60" i="1"/>
  <c r="M60" i="1"/>
  <c r="K60" i="1"/>
  <c r="I60" i="1"/>
  <c r="G60" i="1"/>
  <c r="E60" i="1"/>
  <c r="P60" i="1" s="1"/>
  <c r="O59" i="1"/>
  <c r="M59" i="1"/>
  <c r="K59" i="1"/>
  <c r="I59" i="1"/>
  <c r="G59" i="1"/>
  <c r="E59" i="1"/>
  <c r="P59" i="1" s="1"/>
  <c r="O58" i="1"/>
  <c r="M58" i="1"/>
  <c r="K58" i="1"/>
  <c r="I58" i="1"/>
  <c r="P58" i="1" s="1"/>
  <c r="G58" i="1"/>
  <c r="E58" i="1"/>
  <c r="O57" i="1"/>
  <c r="O69" i="1" s="1"/>
  <c r="O70" i="1" s="1"/>
  <c r="M57" i="1"/>
  <c r="M69" i="1" s="1"/>
  <c r="M70" i="1" s="1"/>
  <c r="K57" i="1"/>
  <c r="K69" i="1" s="1"/>
  <c r="K70" i="1" s="1"/>
  <c r="I57" i="1"/>
  <c r="I69" i="1" s="1"/>
  <c r="I70" i="1" s="1"/>
  <c r="G57" i="1"/>
  <c r="G69" i="1" s="1"/>
  <c r="G70" i="1" s="1"/>
  <c r="E57" i="1"/>
  <c r="E69" i="1" s="1"/>
  <c r="O56" i="1"/>
  <c r="N56" i="1"/>
  <c r="M56" i="1"/>
  <c r="L56" i="1"/>
  <c r="K56" i="1"/>
  <c r="J56" i="1"/>
  <c r="I56" i="1"/>
  <c r="H56" i="1"/>
  <c r="G56" i="1"/>
  <c r="F56" i="1"/>
  <c r="E56" i="1"/>
  <c r="D56" i="1"/>
  <c r="P55" i="1"/>
  <c r="N55" i="1"/>
  <c r="L55" i="1"/>
  <c r="J55" i="1"/>
  <c r="H55" i="1"/>
  <c r="F55" i="1"/>
  <c r="D55" i="1"/>
  <c r="C55" i="1"/>
  <c r="B55" i="1"/>
  <c r="A55" i="1"/>
  <c r="O51" i="1"/>
  <c r="M51" i="1"/>
  <c r="K51" i="1"/>
  <c r="I51" i="1"/>
  <c r="G51" i="1"/>
  <c r="E51" i="1"/>
  <c r="P51" i="1" s="1"/>
  <c r="O50" i="1"/>
  <c r="M50" i="1"/>
  <c r="K50" i="1"/>
  <c r="I50" i="1"/>
  <c r="G50" i="1"/>
  <c r="E50" i="1"/>
  <c r="P50" i="1" s="1"/>
  <c r="O49" i="1"/>
  <c r="M49" i="1"/>
  <c r="K49" i="1"/>
  <c r="I49" i="1"/>
  <c r="P49" i="1" s="1"/>
  <c r="G49" i="1"/>
  <c r="E49" i="1"/>
  <c r="O48" i="1"/>
  <c r="M48" i="1"/>
  <c r="K48" i="1"/>
  <c r="I48" i="1"/>
  <c r="G48" i="1"/>
  <c r="P48" i="1" s="1"/>
  <c r="E48" i="1"/>
  <c r="O47" i="1"/>
  <c r="M47" i="1"/>
  <c r="K47" i="1"/>
  <c r="I47" i="1"/>
  <c r="G47" i="1"/>
  <c r="E47" i="1"/>
  <c r="P47" i="1" s="1"/>
  <c r="O46" i="1"/>
  <c r="M46" i="1"/>
  <c r="I46" i="1"/>
  <c r="G46" i="1"/>
  <c r="E46" i="1"/>
  <c r="O45" i="1"/>
  <c r="M45" i="1"/>
  <c r="I45" i="1"/>
  <c r="G45" i="1"/>
  <c r="E45" i="1"/>
  <c r="O44" i="1"/>
  <c r="M44" i="1"/>
  <c r="I44" i="1"/>
  <c r="G44" i="1"/>
  <c r="E44" i="1"/>
  <c r="O43" i="1"/>
  <c r="M43" i="1"/>
  <c r="I43" i="1"/>
  <c r="G43" i="1"/>
  <c r="E43" i="1"/>
  <c r="O42" i="1"/>
  <c r="M42" i="1"/>
  <c r="I42" i="1"/>
  <c r="G42" i="1"/>
  <c r="E42" i="1"/>
  <c r="P42" i="1" s="1"/>
  <c r="O41" i="1"/>
  <c r="M41" i="1"/>
  <c r="I41" i="1"/>
  <c r="G41" i="1"/>
  <c r="E41" i="1"/>
  <c r="O40" i="1"/>
  <c r="O52" i="1" s="1"/>
  <c r="O53" i="1" s="1"/>
  <c r="M40" i="1"/>
  <c r="M52" i="1" s="1"/>
  <c r="M53" i="1" s="1"/>
  <c r="I40" i="1"/>
  <c r="I52" i="1" s="1"/>
  <c r="I53" i="1" s="1"/>
  <c r="G40" i="1"/>
  <c r="E40" i="1"/>
  <c r="E52" i="1" s="1"/>
  <c r="O39" i="1"/>
  <c r="N39" i="1"/>
  <c r="M39" i="1"/>
  <c r="L39" i="1"/>
  <c r="K39" i="1"/>
  <c r="J39" i="1"/>
  <c r="I39" i="1"/>
  <c r="H39" i="1"/>
  <c r="G39" i="1"/>
  <c r="F39" i="1"/>
  <c r="E39" i="1"/>
  <c r="D39" i="1"/>
  <c r="P38" i="1"/>
  <c r="N38" i="1"/>
  <c r="L38" i="1"/>
  <c r="J38" i="1"/>
  <c r="H38" i="1"/>
  <c r="F38" i="1"/>
  <c r="D38" i="1"/>
  <c r="C38" i="1"/>
  <c r="B38" i="1"/>
  <c r="A38" i="1"/>
  <c r="O34" i="1"/>
  <c r="M34" i="1"/>
  <c r="K34" i="1"/>
  <c r="I34" i="1"/>
  <c r="G34" i="1"/>
  <c r="E34" i="1"/>
  <c r="P34" i="1" s="1"/>
  <c r="O33" i="1"/>
  <c r="M33" i="1"/>
  <c r="K33" i="1"/>
  <c r="I33" i="1"/>
  <c r="G33" i="1"/>
  <c r="E33" i="1"/>
  <c r="P33" i="1" s="1"/>
  <c r="O32" i="1"/>
  <c r="M32" i="1"/>
  <c r="K32" i="1"/>
  <c r="I32" i="1"/>
  <c r="P32" i="1" s="1"/>
  <c r="G32" i="1"/>
  <c r="E32" i="1"/>
  <c r="O31" i="1"/>
  <c r="M31" i="1"/>
  <c r="K31" i="1"/>
  <c r="I31" i="1"/>
  <c r="G31" i="1"/>
  <c r="P31" i="1" s="1"/>
  <c r="E31" i="1"/>
  <c r="O30" i="1"/>
  <c r="M30" i="1"/>
  <c r="K30" i="1"/>
  <c r="I30" i="1"/>
  <c r="G30" i="1"/>
  <c r="E30" i="1"/>
  <c r="P30" i="1" s="1"/>
  <c r="O29" i="1"/>
  <c r="M29" i="1"/>
  <c r="K29" i="1"/>
  <c r="I29" i="1"/>
  <c r="G29" i="1"/>
  <c r="E29" i="1"/>
  <c r="P29" i="1" s="1"/>
  <c r="O28" i="1"/>
  <c r="M28" i="1"/>
  <c r="K28" i="1"/>
  <c r="I28" i="1"/>
  <c r="P28" i="1" s="1"/>
  <c r="G28" i="1"/>
  <c r="E28" i="1"/>
  <c r="O27" i="1"/>
  <c r="M27" i="1"/>
  <c r="K27" i="1"/>
  <c r="I27" i="1"/>
  <c r="G27" i="1"/>
  <c r="P27" i="1" s="1"/>
  <c r="E27" i="1"/>
  <c r="O26" i="1"/>
  <c r="M26" i="1"/>
  <c r="K26" i="1"/>
  <c r="I26" i="1"/>
  <c r="G26" i="1"/>
  <c r="E26" i="1"/>
  <c r="P26" i="1" s="1"/>
  <c r="O25" i="1"/>
  <c r="M25" i="1"/>
  <c r="K25" i="1"/>
  <c r="I25" i="1"/>
  <c r="G25" i="1"/>
  <c r="E25" i="1"/>
  <c r="P25" i="1" s="1"/>
  <c r="O24" i="1"/>
  <c r="M24" i="1"/>
  <c r="K24" i="1"/>
  <c r="I24" i="1"/>
  <c r="P24" i="1" s="1"/>
  <c r="G24" i="1"/>
  <c r="E24" i="1"/>
  <c r="O23" i="1"/>
  <c r="O35" i="1" s="1"/>
  <c r="O36" i="1" s="1"/>
  <c r="M23" i="1"/>
  <c r="M35" i="1" s="1"/>
  <c r="M36" i="1" s="1"/>
  <c r="K23" i="1"/>
  <c r="K35" i="1" s="1"/>
  <c r="K36" i="1" s="1"/>
  <c r="I23" i="1"/>
  <c r="I35" i="1" s="1"/>
  <c r="I36" i="1" s="1"/>
  <c r="G23" i="1"/>
  <c r="P23" i="1" s="1"/>
  <c r="E23" i="1"/>
  <c r="E35" i="1" s="1"/>
  <c r="O22" i="1"/>
  <c r="N22" i="1"/>
  <c r="M22" i="1"/>
  <c r="L22" i="1"/>
  <c r="K22" i="1"/>
  <c r="J22" i="1"/>
  <c r="I22" i="1"/>
  <c r="H22" i="1"/>
  <c r="G22" i="1"/>
  <c r="F22" i="1"/>
  <c r="E22" i="1"/>
  <c r="D22" i="1"/>
  <c r="P21" i="1"/>
  <c r="N21" i="1"/>
  <c r="L21" i="1"/>
  <c r="J21" i="1"/>
  <c r="H21" i="1"/>
  <c r="F21" i="1"/>
  <c r="D21" i="1"/>
  <c r="C21" i="1"/>
  <c r="B21" i="1"/>
  <c r="A21" i="1"/>
  <c r="O17" i="1"/>
  <c r="M17" i="1"/>
  <c r="K17" i="1"/>
  <c r="I17" i="1"/>
  <c r="G17" i="1"/>
  <c r="E17" i="1"/>
  <c r="P17" i="1" s="1"/>
  <c r="O16" i="1"/>
  <c r="M16" i="1"/>
  <c r="K16" i="1"/>
  <c r="I16" i="1"/>
  <c r="G16" i="1"/>
  <c r="E16" i="1"/>
  <c r="P16" i="1" s="1"/>
  <c r="P15" i="1"/>
  <c r="O15" i="1"/>
  <c r="M15" i="1"/>
  <c r="K15" i="1"/>
  <c r="I15" i="1"/>
  <c r="G15" i="1"/>
  <c r="E15" i="1"/>
  <c r="O14" i="1"/>
  <c r="M14" i="1"/>
  <c r="K14" i="1"/>
  <c r="I14" i="1"/>
  <c r="G14" i="1"/>
  <c r="P14" i="1" s="1"/>
  <c r="E14" i="1"/>
  <c r="O13" i="1"/>
  <c r="M13" i="1"/>
  <c r="K13" i="1"/>
  <c r="I13" i="1"/>
  <c r="G13" i="1"/>
  <c r="E13" i="1"/>
  <c r="P13" i="1" s="1"/>
  <c r="O12" i="1"/>
  <c r="M12" i="1"/>
  <c r="K12" i="1"/>
  <c r="I12" i="1"/>
  <c r="G12" i="1"/>
  <c r="E12" i="1"/>
  <c r="P12" i="1" s="1"/>
  <c r="O11" i="1"/>
  <c r="M11" i="1"/>
  <c r="K11" i="1"/>
  <c r="I11" i="1"/>
  <c r="P11" i="1" s="1"/>
  <c r="G11" i="1"/>
  <c r="E11" i="1"/>
  <c r="O10" i="1"/>
  <c r="M10" i="1"/>
  <c r="K10" i="1"/>
  <c r="I10" i="1"/>
  <c r="G10" i="1"/>
  <c r="P10" i="1" s="1"/>
  <c r="E10" i="1"/>
  <c r="O9" i="1"/>
  <c r="M9" i="1"/>
  <c r="K9" i="1"/>
  <c r="I9" i="1"/>
  <c r="G9" i="1"/>
  <c r="E9" i="1"/>
  <c r="P9" i="1" s="1"/>
  <c r="O8" i="1"/>
  <c r="M8" i="1"/>
  <c r="K8" i="1"/>
  <c r="I8" i="1"/>
  <c r="G8" i="1"/>
  <c r="E8" i="1"/>
  <c r="P8" i="1" s="1"/>
  <c r="O7" i="1"/>
  <c r="M7" i="1"/>
  <c r="K7" i="1"/>
  <c r="I7" i="1"/>
  <c r="P7" i="1" s="1"/>
  <c r="G7" i="1"/>
  <c r="E7" i="1"/>
  <c r="O6" i="1"/>
  <c r="O18" i="1" s="1"/>
  <c r="O19" i="1" s="1"/>
  <c r="M6" i="1"/>
  <c r="M18" i="1" s="1"/>
  <c r="M19" i="1" s="1"/>
  <c r="K6" i="1"/>
  <c r="K18" i="1" s="1"/>
  <c r="K19" i="1" s="1"/>
  <c r="I6" i="1"/>
  <c r="I18" i="1" s="1"/>
  <c r="I19" i="1" s="1"/>
  <c r="G6" i="1"/>
  <c r="G18" i="1" s="1"/>
  <c r="G19" i="1" s="1"/>
  <c r="E6" i="1"/>
  <c r="E18" i="1" s="1"/>
  <c r="P46" i="1" l="1"/>
  <c r="P45" i="1"/>
  <c r="P44" i="1"/>
  <c r="P43" i="1"/>
  <c r="P41" i="1"/>
  <c r="K52" i="1"/>
  <c r="K53" i="1" s="1"/>
  <c r="P40" i="1"/>
  <c r="E70" i="1"/>
  <c r="P69" i="1"/>
  <c r="P70" i="1" s="1"/>
  <c r="E19" i="1"/>
  <c r="P18" i="1"/>
  <c r="P19" i="1" s="1"/>
  <c r="E36" i="1"/>
  <c r="E53" i="1"/>
  <c r="P52" i="1"/>
  <c r="P53" i="1" s="1"/>
  <c r="G35" i="1"/>
  <c r="G36" i="1" s="1"/>
  <c r="P6" i="1"/>
  <c r="G52" i="1"/>
  <c r="G53" i="1" s="1"/>
  <c r="P57" i="1"/>
  <c r="P35" i="1" l="1"/>
  <c r="P36" i="1" s="1"/>
</calcChain>
</file>

<file path=xl/sharedStrings.xml><?xml version="1.0" encoding="utf-8"?>
<sst xmlns="http://schemas.openxmlformats.org/spreadsheetml/2006/main" count="102" uniqueCount="86">
  <si>
    <t>CLASS X BC</t>
  </si>
  <si>
    <t>PRE MID TERM EXAM</t>
  </si>
  <si>
    <t xml:space="preserve">  HOUSE OF RIGHTEOUSNESS</t>
  </si>
  <si>
    <t>S.NO</t>
  </si>
  <si>
    <t xml:space="preserve">ADMN NO </t>
  </si>
  <si>
    <t>NAME OF THE STUDENT</t>
  </si>
  <si>
    <t>ENGLISH</t>
  </si>
  <si>
    <t>MATHS</t>
  </si>
  <si>
    <t>SCIENCE</t>
  </si>
  <si>
    <t>SOCIAL SCIENCE</t>
  </si>
  <si>
    <t>TAMIL</t>
  </si>
  <si>
    <t>ARABIC</t>
  </si>
  <si>
    <t>TOTAL POINTS</t>
  </si>
  <si>
    <t>Percentage</t>
  </si>
  <si>
    <t>Points</t>
  </si>
  <si>
    <t xml:space="preserve">Total </t>
  </si>
  <si>
    <t xml:space="preserve">Average </t>
  </si>
  <si>
    <t>HOUSE OF FAITH</t>
  </si>
  <si>
    <t>HOUSE OF TRUTH</t>
  </si>
  <si>
    <t>HOUSE OF PATIENCE</t>
  </si>
  <si>
    <t>5349</t>
  </si>
  <si>
    <t>A AHMAD YAHYA</t>
  </si>
  <si>
    <t>3310</t>
  </si>
  <si>
    <t>A ASHIQ SHARIF</t>
  </si>
  <si>
    <t>7195</t>
  </si>
  <si>
    <t>A J NOOH NUFAIL</t>
  </si>
  <si>
    <t>3781</t>
  </si>
  <si>
    <t>ABDUR RAHMAN M</t>
  </si>
  <si>
    <t>7111</t>
  </si>
  <si>
    <t>B MOHAMED IFRAZ</t>
  </si>
  <si>
    <t>7484</t>
  </si>
  <si>
    <t>HABEEB MUHAMMAD</t>
  </si>
  <si>
    <t>3813</t>
  </si>
  <si>
    <t>HAFEEZ MOHAMMED M S</t>
  </si>
  <si>
    <t>8523</t>
  </si>
  <si>
    <t>A ABDUL AHAD</t>
  </si>
  <si>
    <t>8692</t>
  </si>
  <si>
    <t>A F AATHIK</t>
  </si>
  <si>
    <t>4513</t>
  </si>
  <si>
    <t>AMEER QHAAYID A</t>
  </si>
  <si>
    <t>3972</t>
  </si>
  <si>
    <t>ASHAZ MOHAMMED</t>
  </si>
  <si>
    <t>5459</t>
  </si>
  <si>
    <t>M MOHAMED ISMAIL</t>
  </si>
  <si>
    <t>5462</t>
  </si>
  <si>
    <t>MOHAMED AJMAL S</t>
  </si>
  <si>
    <t>3961</t>
  </si>
  <si>
    <t>MOHAMED NIZAMUDHEEN A</t>
  </si>
  <si>
    <t>7422</t>
  </si>
  <si>
    <t>MOHAMMAD FARHAAN</t>
  </si>
  <si>
    <t>4278</t>
  </si>
  <si>
    <t>MOHAMMED AYAAN K</t>
  </si>
  <si>
    <t>9042</t>
  </si>
  <si>
    <t>S MUHAMMAD YUSUF</t>
  </si>
  <si>
    <t>8565</t>
  </si>
  <si>
    <t>A THAMEEM ANSARI</t>
  </si>
  <si>
    <t>8568</t>
  </si>
  <si>
    <t>AMAN SHARIEF</t>
  </si>
  <si>
    <t>4097</t>
  </si>
  <si>
    <t>K GANESH</t>
  </si>
  <si>
    <t>3432</t>
  </si>
  <si>
    <t>MUHAMMAD MALHAN</t>
  </si>
  <si>
    <t>4267</t>
  </si>
  <si>
    <t>MUHAMMAD THARIQ</t>
  </si>
  <si>
    <t>9086</t>
  </si>
  <si>
    <t>R. MOHAMED ABUL KASIM</t>
  </si>
  <si>
    <t>9104</t>
  </si>
  <si>
    <t>SAUD AHMED</t>
  </si>
  <si>
    <t>8867</t>
  </si>
  <si>
    <t>A FAHEEM</t>
  </si>
  <si>
    <t>3819</t>
  </si>
  <si>
    <t>JIBRAN ABDUL JABBAR R</t>
  </si>
  <si>
    <t>7136</t>
  </si>
  <si>
    <t>K MOHAMMED KASHIF</t>
  </si>
  <si>
    <t>7110</t>
  </si>
  <si>
    <t>KHALEEL AHAMAD</t>
  </si>
  <si>
    <t>7430</t>
  </si>
  <si>
    <t>M MOHAMED JASIM</t>
  </si>
  <si>
    <t>7429</t>
  </si>
  <si>
    <t>M MOHAMED JASIR</t>
  </si>
  <si>
    <t>3910</t>
  </si>
  <si>
    <t>MOHAMED AFRAAZ M</t>
  </si>
  <si>
    <t>8090</t>
  </si>
  <si>
    <t>MOHAMMED THOUFEEQ</t>
  </si>
  <si>
    <t>8559</t>
  </si>
  <si>
    <t>SHUAIB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</si>
</sst>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22"/>
      <color theme="1"/>
      <name val="Times New Roman"/>
    </font>
    <font>
      <sz val="10"/>
      <name val="Arial"/>
    </font>
    <font>
      <sz val="10"/>
      <color rgb="FF000000"/>
      <name val="Arial"/>
    </font>
    <font>
      <b/>
      <sz val="20"/>
      <color theme="1"/>
      <name val="Times New Roman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rgb="FFF28E85"/>
      </patternFill>
    </fill>
    <fill>
      <patternFill patternType="solid">
        <fgColor theme="4"/>
      </patternFill>
    </fill>
    <fill>
      <patternFill patternType="solid">
        <fgColor rgb="FF8DB5F8"/>
      </patternFill>
    </fill>
    <fill>
      <patternFill patternType="solid">
        <fgColor theme="7"/>
      </patternFill>
    </fill>
    <fill>
      <patternFill patternType="solid">
        <fgColor theme="0"/>
      </patternFill>
    </fill>
    <fill>
      <patternFill patternType="solid">
        <fgColor rgb="FF7AD592"/>
      </patternFill>
    </fill>
    <fill>
      <patternFill patternType="solid">
        <fgColor theme="6"/>
      </patternFill>
    </fill>
    <fill>
      <patternFill patternType="solid">
        <fgColor rgb="FFFCD668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/>
    <xf numFmtId="1" fontId="3" fillId="0" borderId="13" xfId="0" applyNumberFormat="1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2" fontId="5" fillId="3" borderId="18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2" fontId="5" fillId="5" borderId="13" xfId="0" applyNumberFormat="1" applyFont="1" applyFill="1" applyBorder="1" applyAlignment="1">
      <alignment horizontal="center" vertical="center"/>
    </xf>
    <xf numFmtId="2" fontId="5" fillId="5" borderId="15" xfId="0" applyNumberFormat="1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2" fontId="5" fillId="5" borderId="18" xfId="0" applyNumberFormat="1" applyFont="1" applyFill="1" applyBorder="1" applyAlignment="1">
      <alignment horizontal="center" vertical="center"/>
    </xf>
    <xf numFmtId="2" fontId="5" fillId="5" borderId="19" xfId="0" applyNumberFormat="1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 vertical="center"/>
    </xf>
    <xf numFmtId="2" fontId="5" fillId="7" borderId="15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2" fontId="5" fillId="7" borderId="18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2" fontId="5" fillId="10" borderId="13" xfId="0" applyNumberFormat="1" applyFont="1" applyFill="1" applyBorder="1" applyAlignment="1">
      <alignment horizontal="center" vertical="center"/>
    </xf>
    <xf numFmtId="2" fontId="5" fillId="10" borderId="15" xfId="0" applyNumberFormat="1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2" fontId="5" fillId="10" borderId="18" xfId="0" applyNumberFormat="1" applyFont="1" applyFill="1" applyBorder="1" applyAlignment="1">
      <alignment horizontal="center" vertical="center"/>
    </xf>
    <xf numFmtId="2" fontId="5" fillId="10" borderId="1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5" fillId="3" borderId="7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5" fillId="3" borderId="10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C1" zoomScale="70" zoomScaleNormal="70" workbookViewId="0">
      <selection activeCell="K43" sqref="K43"/>
    </sheetView>
  </sheetViews>
  <sheetFormatPr defaultColWidth="12.5703125" defaultRowHeight="12.75" x14ac:dyDescent="0.2"/>
  <cols>
    <col min="1" max="1" width="5.5703125" customWidth="1"/>
    <col min="2" max="2" width="10.28515625" customWidth="1"/>
    <col min="3" max="3" width="33.140625" customWidth="1"/>
    <col min="4" max="4" width="11.42578125" customWidth="1"/>
    <col min="5" max="5" width="7" customWidth="1"/>
    <col min="6" max="6" width="11.42578125" customWidth="1"/>
    <col min="7" max="7" width="7" customWidth="1"/>
    <col min="8" max="8" width="11.42578125" customWidth="1"/>
    <col min="9" max="9" width="7" customWidth="1"/>
    <col min="10" max="10" width="11.42578125" customWidth="1"/>
    <col min="11" max="11" width="7" customWidth="1"/>
    <col min="12" max="12" width="11.42578125" customWidth="1"/>
    <col min="13" max="13" width="7" customWidth="1"/>
    <col min="14" max="14" width="11.42578125" customWidth="1"/>
    <col min="15" max="15" width="7" customWidth="1"/>
    <col min="16" max="16" width="13.28515625" customWidth="1"/>
  </cols>
  <sheetData>
    <row r="1" spans="1:26" ht="27" customHeight="1" x14ac:dyDescent="0.2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 x14ac:dyDescent="0.2">
      <c r="A2" s="55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 x14ac:dyDescent="0.2">
      <c r="A3" s="56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66" t="s">
        <v>3</v>
      </c>
      <c r="B4" s="59" t="s">
        <v>4</v>
      </c>
      <c r="C4" s="61" t="s">
        <v>5</v>
      </c>
      <c r="D4" s="62" t="s">
        <v>6</v>
      </c>
      <c r="E4" s="63"/>
      <c r="F4" s="73" t="s">
        <v>7</v>
      </c>
      <c r="G4" s="63"/>
      <c r="H4" s="73" t="s">
        <v>8</v>
      </c>
      <c r="I4" s="63"/>
      <c r="J4" s="73" t="s">
        <v>9</v>
      </c>
      <c r="K4" s="63"/>
      <c r="L4" s="73" t="s">
        <v>10</v>
      </c>
      <c r="M4" s="63"/>
      <c r="N4" s="73" t="s">
        <v>11</v>
      </c>
      <c r="O4" s="63"/>
      <c r="P4" s="64" t="s">
        <v>12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67"/>
      <c r="B5" s="60"/>
      <c r="C5" s="60"/>
      <c r="D5" s="2" t="s">
        <v>13</v>
      </c>
      <c r="E5" s="2" t="s">
        <v>14</v>
      </c>
      <c r="F5" s="2" t="s">
        <v>13</v>
      </c>
      <c r="G5" s="2" t="s">
        <v>14</v>
      </c>
      <c r="H5" s="2" t="s">
        <v>13</v>
      </c>
      <c r="I5" s="2" t="s">
        <v>14</v>
      </c>
      <c r="J5" s="2" t="s">
        <v>13</v>
      </c>
      <c r="K5" s="2" t="s">
        <v>14</v>
      </c>
      <c r="L5" s="2" t="s">
        <v>13</v>
      </c>
      <c r="M5" s="2" t="s">
        <v>14</v>
      </c>
      <c r="N5" s="2" t="s">
        <v>13</v>
      </c>
      <c r="O5" s="2" t="s">
        <v>14</v>
      </c>
      <c r="P5" s="6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">
        <v>1</v>
      </c>
      <c r="B6" s="4" t="s">
        <v>20</v>
      </c>
      <c r="C6" s="4" t="s">
        <v>21</v>
      </c>
      <c r="D6" s="5">
        <v>86.25</v>
      </c>
      <c r="E6" s="6">
        <f t="shared" ref="E6:E17" si="0">IF(D6="","",IF(D6&gt;=95,5,IF(AND(D6&gt;=81,D6&lt;=94),3,IF(AND(D6&gt;=61,D6&lt;=80),2,0))))</f>
        <v>3</v>
      </c>
      <c r="F6" s="5">
        <v>73.75</v>
      </c>
      <c r="G6" s="6">
        <f t="shared" ref="G6:G17" si="1">IF(F6="","",IF(F6&gt;=95,5,IF(AND(F6&gt;=81,F6&lt;=94),3,IF(AND(F6&gt;=61,F6&lt;=80),2,0))))</f>
        <v>2</v>
      </c>
      <c r="H6" s="5">
        <v>56.25</v>
      </c>
      <c r="I6" s="6">
        <f t="shared" ref="I6:I17" si="2">IF(H6="","",IF(H6&gt;=95,5,IF(AND(H6&gt;=81,H6&lt;=94),3,IF(AND(H6&gt;=61,H6&lt;=80),2,0))))</f>
        <v>0</v>
      </c>
      <c r="J6" s="5">
        <v>68.75</v>
      </c>
      <c r="K6" s="6">
        <f t="shared" ref="K6:K17" si="3">IF(J6="","",IF(J6&gt;=95,5,IF(AND(J6&gt;=81,J6&lt;=94),3,IF(AND(J6&gt;=61,J6&lt;=80),2,0))))</f>
        <v>2</v>
      </c>
      <c r="L6" s="5">
        <v>38.75</v>
      </c>
      <c r="M6" s="6">
        <f t="shared" ref="M6:M17" si="4">IF(L6="","",IF(L6&gt;=95,5,IF(AND(L6&gt;=81,L6&lt;=94),3,IF(AND(L6&gt;=61,L6&lt;=80),2,0))))</f>
        <v>0</v>
      </c>
      <c r="N6" s="5">
        <v>68.75</v>
      </c>
      <c r="O6" s="6">
        <f t="shared" ref="O6:O17" si="5">IF(N6="","",IF(N6&gt;=95,5,IF(AND(N6&gt;=81,N6&lt;=94),3,IF(AND(N6&gt;=61,N6&lt;=80),2,0))))</f>
        <v>2</v>
      </c>
      <c r="P6" s="7">
        <f t="shared" ref="P6:P18" si="6">SUM(E6,G6,I6,K6,M6,O6)</f>
        <v>9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">
        <v>2</v>
      </c>
      <c r="B7" s="4" t="s">
        <v>22</v>
      </c>
      <c r="C7" s="4" t="s">
        <v>23</v>
      </c>
      <c r="D7" s="5">
        <v>33.75</v>
      </c>
      <c r="E7" s="6">
        <f t="shared" si="0"/>
        <v>0</v>
      </c>
      <c r="F7" s="5">
        <v>13.75</v>
      </c>
      <c r="G7" s="6">
        <f t="shared" si="1"/>
        <v>0</v>
      </c>
      <c r="H7" s="5">
        <v>12.5</v>
      </c>
      <c r="I7" s="6">
        <f t="shared" si="2"/>
        <v>0</v>
      </c>
      <c r="J7" s="5">
        <v>40</v>
      </c>
      <c r="K7" s="6">
        <f t="shared" si="3"/>
        <v>0</v>
      </c>
      <c r="L7" s="5">
        <v>43.75</v>
      </c>
      <c r="M7" s="6">
        <f t="shared" si="4"/>
        <v>0</v>
      </c>
      <c r="N7" s="5">
        <v>31.25</v>
      </c>
      <c r="O7" s="6">
        <f t="shared" si="5"/>
        <v>0</v>
      </c>
      <c r="P7" s="7">
        <f t="shared" si="6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">
        <v>3</v>
      </c>
      <c r="B8" s="4" t="s">
        <v>24</v>
      </c>
      <c r="C8" s="4" t="s">
        <v>25</v>
      </c>
      <c r="D8" s="5">
        <v>86.25</v>
      </c>
      <c r="E8" s="6">
        <f t="shared" si="0"/>
        <v>3</v>
      </c>
      <c r="F8" s="5">
        <v>51.25</v>
      </c>
      <c r="G8" s="6">
        <f t="shared" si="1"/>
        <v>0</v>
      </c>
      <c r="H8" s="5">
        <v>40</v>
      </c>
      <c r="I8" s="6">
        <f t="shared" si="2"/>
        <v>0</v>
      </c>
      <c r="J8" s="5">
        <v>85</v>
      </c>
      <c r="K8" s="6">
        <f t="shared" si="3"/>
        <v>3</v>
      </c>
      <c r="L8" s="5">
        <v>76.25</v>
      </c>
      <c r="M8" s="6">
        <f t="shared" si="4"/>
        <v>2</v>
      </c>
      <c r="N8" s="5">
        <v>87.5</v>
      </c>
      <c r="O8" s="6">
        <f t="shared" si="5"/>
        <v>3</v>
      </c>
      <c r="P8" s="7">
        <f t="shared" si="6"/>
        <v>11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">
        <v>4</v>
      </c>
      <c r="B9" s="4" t="s">
        <v>26</v>
      </c>
      <c r="C9" s="4" t="s">
        <v>27</v>
      </c>
      <c r="D9" s="5">
        <v>66.25</v>
      </c>
      <c r="E9" s="6">
        <f t="shared" si="0"/>
        <v>2</v>
      </c>
      <c r="F9" s="5">
        <v>46.25</v>
      </c>
      <c r="G9" s="6">
        <f t="shared" si="1"/>
        <v>0</v>
      </c>
      <c r="H9" s="5">
        <v>38.75</v>
      </c>
      <c r="I9" s="6">
        <f t="shared" si="2"/>
        <v>0</v>
      </c>
      <c r="J9" s="5">
        <v>62.5</v>
      </c>
      <c r="K9" s="6">
        <f t="shared" si="3"/>
        <v>2</v>
      </c>
      <c r="L9" s="5">
        <v>67.5</v>
      </c>
      <c r="M9" s="6">
        <f t="shared" si="4"/>
        <v>2</v>
      </c>
      <c r="N9" s="5">
        <v>76.25</v>
      </c>
      <c r="O9" s="6">
        <f t="shared" si="5"/>
        <v>2</v>
      </c>
      <c r="P9" s="7">
        <f t="shared" si="6"/>
        <v>8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">
        <v>5</v>
      </c>
      <c r="B10" s="4" t="s">
        <v>28</v>
      </c>
      <c r="C10" s="4" t="s">
        <v>29</v>
      </c>
      <c r="D10" s="5">
        <v>33.75</v>
      </c>
      <c r="E10" s="6">
        <f t="shared" si="0"/>
        <v>0</v>
      </c>
      <c r="F10" s="5">
        <v>18.75</v>
      </c>
      <c r="G10" s="6">
        <f t="shared" si="1"/>
        <v>0</v>
      </c>
      <c r="H10" s="5">
        <v>25</v>
      </c>
      <c r="I10" s="6">
        <f t="shared" si="2"/>
        <v>0</v>
      </c>
      <c r="J10" s="5">
        <v>25</v>
      </c>
      <c r="K10" s="6">
        <f t="shared" si="3"/>
        <v>0</v>
      </c>
      <c r="L10" s="5">
        <v>37.5</v>
      </c>
      <c r="M10" s="6">
        <f t="shared" si="4"/>
        <v>0</v>
      </c>
      <c r="N10" s="5">
        <v>11.25</v>
      </c>
      <c r="O10" s="6">
        <f t="shared" si="5"/>
        <v>0</v>
      </c>
      <c r="P10" s="7">
        <f t="shared" si="6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">
        <v>6</v>
      </c>
      <c r="B11" s="4" t="s">
        <v>30</v>
      </c>
      <c r="C11" s="4" t="s">
        <v>31</v>
      </c>
      <c r="D11" s="5">
        <v>75</v>
      </c>
      <c r="E11" s="6">
        <f t="shared" si="0"/>
        <v>2</v>
      </c>
      <c r="F11" s="5">
        <v>65</v>
      </c>
      <c r="G11" s="6">
        <f t="shared" si="1"/>
        <v>2</v>
      </c>
      <c r="H11" s="5">
        <v>50</v>
      </c>
      <c r="I11" s="6">
        <f t="shared" si="2"/>
        <v>0</v>
      </c>
      <c r="J11" s="5">
        <v>62.5</v>
      </c>
      <c r="K11" s="6">
        <f t="shared" si="3"/>
        <v>2</v>
      </c>
      <c r="L11" s="5">
        <v>57.5</v>
      </c>
      <c r="M11" s="6">
        <f t="shared" si="4"/>
        <v>0</v>
      </c>
      <c r="N11" s="5">
        <v>63.75</v>
      </c>
      <c r="O11" s="6">
        <f t="shared" si="5"/>
        <v>2</v>
      </c>
      <c r="P11" s="7">
        <f t="shared" si="6"/>
        <v>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">
        <v>7</v>
      </c>
      <c r="B12" s="4" t="s">
        <v>32</v>
      </c>
      <c r="C12" s="4" t="s">
        <v>33</v>
      </c>
      <c r="D12" s="5">
        <v>86.25</v>
      </c>
      <c r="E12" s="6">
        <f t="shared" si="0"/>
        <v>3</v>
      </c>
      <c r="F12" s="5">
        <v>76.25</v>
      </c>
      <c r="G12" s="6">
        <f t="shared" si="1"/>
        <v>2</v>
      </c>
      <c r="H12" s="5">
        <v>71.25</v>
      </c>
      <c r="I12" s="6">
        <f t="shared" si="2"/>
        <v>2</v>
      </c>
      <c r="J12" s="5">
        <v>93.75</v>
      </c>
      <c r="K12" s="6">
        <f t="shared" si="3"/>
        <v>3</v>
      </c>
      <c r="L12" s="5">
        <v>92.5</v>
      </c>
      <c r="M12" s="6">
        <f t="shared" si="4"/>
        <v>3</v>
      </c>
      <c r="N12" s="5">
        <v>92.5</v>
      </c>
      <c r="O12" s="6">
        <f t="shared" si="5"/>
        <v>3</v>
      </c>
      <c r="P12" s="7">
        <f t="shared" si="6"/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">
        <v>8</v>
      </c>
      <c r="B13" s="4"/>
      <c r="C13" s="4"/>
      <c r="D13" s="5"/>
      <c r="E13" s="6" t="str">
        <f t="shared" si="0"/>
        <v/>
      </c>
      <c r="F13" s="5"/>
      <c r="G13" s="6" t="str">
        <f t="shared" si="1"/>
        <v/>
      </c>
      <c r="H13" s="5"/>
      <c r="I13" s="6" t="str">
        <f t="shared" si="2"/>
        <v/>
      </c>
      <c r="J13" s="5"/>
      <c r="K13" s="6" t="str">
        <f t="shared" si="3"/>
        <v/>
      </c>
      <c r="L13" s="5"/>
      <c r="M13" s="6" t="str">
        <f t="shared" si="4"/>
        <v/>
      </c>
      <c r="N13" s="5"/>
      <c r="O13" s="6" t="str">
        <f t="shared" si="5"/>
        <v/>
      </c>
      <c r="P13" s="7">
        <f t="shared" si="6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">
        <v>9</v>
      </c>
      <c r="B14" s="4"/>
      <c r="C14" s="4"/>
      <c r="D14" s="5"/>
      <c r="E14" s="6" t="str">
        <f t="shared" si="0"/>
        <v/>
      </c>
      <c r="F14" s="5"/>
      <c r="G14" s="6" t="str">
        <f t="shared" si="1"/>
        <v/>
      </c>
      <c r="H14" s="5"/>
      <c r="I14" s="6" t="str">
        <f t="shared" si="2"/>
        <v/>
      </c>
      <c r="J14" s="5"/>
      <c r="K14" s="6" t="str">
        <f t="shared" si="3"/>
        <v/>
      </c>
      <c r="L14" s="5"/>
      <c r="M14" s="6" t="str">
        <f t="shared" si="4"/>
        <v/>
      </c>
      <c r="N14" s="5"/>
      <c r="O14" s="6" t="str">
        <f t="shared" si="5"/>
        <v/>
      </c>
      <c r="P14" s="7">
        <f t="shared" si="6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">
        <v>10</v>
      </c>
      <c r="B15" s="4"/>
      <c r="C15" s="4"/>
      <c r="D15" s="5"/>
      <c r="E15" s="6" t="str">
        <f t="shared" si="0"/>
        <v/>
      </c>
      <c r="F15" s="5"/>
      <c r="G15" s="6" t="str">
        <f t="shared" si="1"/>
        <v/>
      </c>
      <c r="H15" s="5"/>
      <c r="I15" s="6" t="str">
        <f t="shared" si="2"/>
        <v/>
      </c>
      <c r="J15" s="5"/>
      <c r="K15" s="6" t="str">
        <f t="shared" si="3"/>
        <v/>
      </c>
      <c r="L15" s="5"/>
      <c r="M15" s="6" t="str">
        <f t="shared" si="4"/>
        <v/>
      </c>
      <c r="N15" s="5"/>
      <c r="O15" s="6" t="str">
        <f t="shared" si="5"/>
        <v/>
      </c>
      <c r="P15" s="7">
        <f t="shared" si="6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">
        <v>11</v>
      </c>
      <c r="B16" s="4"/>
      <c r="C16" s="4"/>
      <c r="D16" s="5"/>
      <c r="E16" s="6" t="str">
        <f t="shared" si="0"/>
        <v/>
      </c>
      <c r="F16" s="5"/>
      <c r="G16" s="6" t="str">
        <f t="shared" si="1"/>
        <v/>
      </c>
      <c r="H16" s="5"/>
      <c r="I16" s="6" t="str">
        <f t="shared" si="2"/>
        <v/>
      </c>
      <c r="J16" s="5"/>
      <c r="K16" s="6" t="str">
        <f t="shared" si="3"/>
        <v/>
      </c>
      <c r="L16" s="5"/>
      <c r="M16" s="6" t="str">
        <f t="shared" si="4"/>
        <v/>
      </c>
      <c r="N16" s="5"/>
      <c r="O16" s="6" t="str">
        <f t="shared" si="5"/>
        <v/>
      </c>
      <c r="P16" s="7">
        <f t="shared" si="6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">
        <v>12</v>
      </c>
      <c r="B17" s="4"/>
      <c r="C17" s="4"/>
      <c r="D17" s="5"/>
      <c r="E17" s="6" t="str">
        <f t="shared" si="0"/>
        <v/>
      </c>
      <c r="F17" s="5"/>
      <c r="G17" s="6" t="str">
        <f t="shared" si="1"/>
        <v/>
      </c>
      <c r="H17" s="5"/>
      <c r="I17" s="6" t="str">
        <f t="shared" si="2"/>
        <v/>
      </c>
      <c r="J17" s="5"/>
      <c r="K17" s="6" t="str">
        <f t="shared" si="3"/>
        <v/>
      </c>
      <c r="L17" s="5"/>
      <c r="M17" s="6" t="str">
        <f t="shared" si="4"/>
        <v/>
      </c>
      <c r="N17" s="5"/>
      <c r="O17" s="6" t="str">
        <f t="shared" si="5"/>
        <v/>
      </c>
      <c r="P17" s="7">
        <f t="shared" si="6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8"/>
      <c r="B18" s="9"/>
      <c r="C18" s="9" t="s">
        <v>15</v>
      </c>
      <c r="D18" s="9"/>
      <c r="E18" s="10">
        <f>SUM(E6:E17)</f>
        <v>13</v>
      </c>
      <c r="F18" s="10"/>
      <c r="G18" s="10">
        <f>SUM(G6:G17)</f>
        <v>6</v>
      </c>
      <c r="H18" s="10"/>
      <c r="I18" s="10">
        <f>SUM(I6:I17)</f>
        <v>2</v>
      </c>
      <c r="J18" s="10"/>
      <c r="K18" s="10">
        <f>SUM(K6:K17)</f>
        <v>12</v>
      </c>
      <c r="L18" s="10"/>
      <c r="M18" s="10">
        <f>SUM(M6:M17)</f>
        <v>7</v>
      </c>
      <c r="N18" s="10"/>
      <c r="O18" s="10">
        <f>SUM(O6:O17)</f>
        <v>12</v>
      </c>
      <c r="P18" s="11">
        <f t="shared" si="6"/>
        <v>52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2"/>
      <c r="B19" s="13"/>
      <c r="C19" s="13" t="s">
        <v>16</v>
      </c>
      <c r="D19" s="13"/>
      <c r="E19" s="14">
        <f>E18/COUNTA(C6:C17)</f>
        <v>1.8571428571428572</v>
      </c>
      <c r="F19" s="14"/>
      <c r="G19" s="14">
        <f>G18/COUNTA(C6:C17)</f>
        <v>0.8571428571428571</v>
      </c>
      <c r="H19" s="14"/>
      <c r="I19" s="14">
        <f>I18/COUNTA(C6:C17)</f>
        <v>0.2857142857142857</v>
      </c>
      <c r="J19" s="14"/>
      <c r="K19" s="14">
        <f>K18/COUNTA(C6:C17)</f>
        <v>1.7142857142857142</v>
      </c>
      <c r="L19" s="14"/>
      <c r="M19" s="14">
        <f>M18/COUNTA(C6:C17)</f>
        <v>1</v>
      </c>
      <c r="N19" s="14"/>
      <c r="O19" s="14">
        <f>O18/COUNTA(C6:C17)</f>
        <v>1.7142857142857142</v>
      </c>
      <c r="P19" s="16">
        <f>P18/COUNTA(C6:C17)</f>
        <v>7.4285714285714288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2">
      <c r="A20" s="70" t="s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68" t="str">
        <f t="shared" ref="A21:D21" si="7">A4</f>
        <v>S.NO</v>
      </c>
      <c r="B21" s="69" t="str">
        <f t="shared" si="7"/>
        <v xml:space="preserve">ADMN NO </v>
      </c>
      <c r="C21" s="69" t="str">
        <f t="shared" si="7"/>
        <v>NAME OF THE STUDENT</v>
      </c>
      <c r="D21" s="71" t="str">
        <f t="shared" si="7"/>
        <v>ENGLISH</v>
      </c>
      <c r="E21" s="63"/>
      <c r="F21" s="71" t="str">
        <f>F4</f>
        <v>MATHS</v>
      </c>
      <c r="G21" s="63"/>
      <c r="H21" s="71" t="str">
        <f>H4</f>
        <v>SCIENCE</v>
      </c>
      <c r="I21" s="63"/>
      <c r="J21" s="71" t="str">
        <f>J4</f>
        <v>SOCIAL SCIENCE</v>
      </c>
      <c r="K21" s="63"/>
      <c r="L21" s="71" t="str">
        <f>L4</f>
        <v>TAMIL</v>
      </c>
      <c r="M21" s="63"/>
      <c r="N21" s="71" t="str">
        <f>N4</f>
        <v>ARABIC</v>
      </c>
      <c r="O21" s="63"/>
      <c r="P21" s="72" t="str">
        <f>P4</f>
        <v>TOTAL POINTS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67"/>
      <c r="B22" s="60"/>
      <c r="C22" s="60"/>
      <c r="D22" s="15" t="str">
        <f t="shared" ref="D22:O22" si="8">D5</f>
        <v>Percentage</v>
      </c>
      <c r="E22" s="15" t="str">
        <f t="shared" si="8"/>
        <v>Points</v>
      </c>
      <c r="F22" s="15" t="str">
        <f t="shared" si="8"/>
        <v>Percentage</v>
      </c>
      <c r="G22" s="15" t="str">
        <f t="shared" si="8"/>
        <v>Points</v>
      </c>
      <c r="H22" s="15" t="str">
        <f t="shared" si="8"/>
        <v>Percentage</v>
      </c>
      <c r="I22" s="15" t="str">
        <f t="shared" si="8"/>
        <v>Points</v>
      </c>
      <c r="J22" s="15" t="str">
        <f t="shared" si="8"/>
        <v>Percentage</v>
      </c>
      <c r="K22" s="15" t="str">
        <f t="shared" si="8"/>
        <v>Points</v>
      </c>
      <c r="L22" s="15" t="str">
        <f t="shared" si="8"/>
        <v>Percentage</v>
      </c>
      <c r="M22" s="15" t="str">
        <f t="shared" si="8"/>
        <v>Points</v>
      </c>
      <c r="N22" s="15" t="str">
        <f t="shared" si="8"/>
        <v>Percentage</v>
      </c>
      <c r="O22" s="15" t="str">
        <f t="shared" si="8"/>
        <v>Points</v>
      </c>
      <c r="P22" s="6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7">
        <v>1</v>
      </c>
      <c r="B23" s="4" t="s">
        <v>34</v>
      </c>
      <c r="C23" s="4" t="s">
        <v>35</v>
      </c>
      <c r="D23" s="18">
        <v>51.25</v>
      </c>
      <c r="E23" s="19">
        <f t="shared" ref="E23:E34" si="9">IF(D23="","",IF(D23&gt;=95,5,IF(AND(D23&gt;=81,D23&lt;=94),3,IF(AND(D23&gt;=61,D23&lt;=80),2,0))))</f>
        <v>0</v>
      </c>
      <c r="F23" s="18">
        <v>46.25</v>
      </c>
      <c r="G23" s="19">
        <f t="shared" ref="G23:G34" si="10">IF(F23="","",IF(F23&gt;=95,5,IF(AND(F23&gt;=81,F23&lt;=94),3,IF(AND(F23&gt;=61,F23&lt;=80),2,0))))</f>
        <v>0</v>
      </c>
      <c r="H23" s="18">
        <v>33.75</v>
      </c>
      <c r="I23" s="19">
        <f t="shared" ref="I23:I34" si="11">IF(H23="","",IF(H23&gt;=95,5,IF(AND(H23&gt;=81,H23&lt;=94),3,IF(AND(H23&gt;=61,H23&lt;=80),2,0))))</f>
        <v>0</v>
      </c>
      <c r="J23" s="18">
        <v>52.5</v>
      </c>
      <c r="K23" s="19">
        <f t="shared" ref="K23:K34" si="12">IF(J23="","",IF(J23&gt;=95,5,IF(AND(J23&gt;=81,J23&lt;=94),3,IF(AND(J23&gt;=61,J23&lt;=80),2,0))))</f>
        <v>0</v>
      </c>
      <c r="L23" s="18">
        <v>38.75</v>
      </c>
      <c r="M23" s="19">
        <f t="shared" ref="M23:M34" si="13">IF(L23="","",IF(L23&gt;=95,5,IF(AND(L23&gt;=81,L23&lt;=94),3,IF(AND(L23&gt;=61,L23&lt;=80),2,0))))</f>
        <v>0</v>
      </c>
      <c r="N23" s="18">
        <v>73.75</v>
      </c>
      <c r="O23" s="19">
        <f t="shared" ref="O23:O34" si="14">IF(N23="","",IF(N23&gt;=95,5,IF(AND(N23&gt;=81,N23&lt;=94),3,IF(AND(N23&gt;=61,N23&lt;=80),2,0))))</f>
        <v>2</v>
      </c>
      <c r="P23" s="20">
        <f t="shared" ref="P23:P35" si="15">SUM(E23,G23,I23,K23,M23,O23)</f>
        <v>2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">
        <v>2</v>
      </c>
      <c r="B24" s="4" t="s">
        <v>36</v>
      </c>
      <c r="C24" s="4" t="s">
        <v>37</v>
      </c>
      <c r="D24" s="18">
        <v>50</v>
      </c>
      <c r="E24" s="19">
        <f t="shared" si="9"/>
        <v>0</v>
      </c>
      <c r="F24" s="18">
        <v>33.75</v>
      </c>
      <c r="G24" s="19">
        <f t="shared" si="10"/>
        <v>0</v>
      </c>
      <c r="H24" s="18">
        <v>23.75</v>
      </c>
      <c r="I24" s="19">
        <f t="shared" si="11"/>
        <v>0</v>
      </c>
      <c r="J24" s="18">
        <v>61.25</v>
      </c>
      <c r="K24" s="19">
        <f t="shared" si="12"/>
        <v>2</v>
      </c>
      <c r="L24" s="18">
        <v>60</v>
      </c>
      <c r="M24" s="19">
        <f t="shared" si="13"/>
        <v>0</v>
      </c>
      <c r="N24" s="18">
        <v>46.25</v>
      </c>
      <c r="O24" s="19">
        <f t="shared" si="14"/>
        <v>0</v>
      </c>
      <c r="P24" s="20">
        <f t="shared" si="15"/>
        <v>2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">
        <v>3</v>
      </c>
      <c r="B25" s="4" t="s">
        <v>38</v>
      </c>
      <c r="C25" s="4" t="s">
        <v>39</v>
      </c>
      <c r="D25" s="18">
        <v>67.5</v>
      </c>
      <c r="E25" s="19">
        <f t="shared" si="9"/>
        <v>2</v>
      </c>
      <c r="F25" s="18">
        <v>56.25</v>
      </c>
      <c r="G25" s="19">
        <f t="shared" si="10"/>
        <v>0</v>
      </c>
      <c r="H25" s="18">
        <v>46.25</v>
      </c>
      <c r="I25" s="19">
        <f t="shared" si="11"/>
        <v>0</v>
      </c>
      <c r="J25" s="18">
        <v>56.25</v>
      </c>
      <c r="K25" s="19">
        <f t="shared" si="12"/>
        <v>0</v>
      </c>
      <c r="L25" s="18">
        <v>45</v>
      </c>
      <c r="M25" s="19">
        <f t="shared" si="13"/>
        <v>0</v>
      </c>
      <c r="N25" s="18">
        <v>66.25</v>
      </c>
      <c r="O25" s="19">
        <f t="shared" si="14"/>
        <v>2</v>
      </c>
      <c r="P25" s="20">
        <f t="shared" si="15"/>
        <v>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">
        <v>4</v>
      </c>
      <c r="B26" s="4" t="s">
        <v>40</v>
      </c>
      <c r="C26" s="4" t="s">
        <v>41</v>
      </c>
      <c r="D26" s="18">
        <v>30</v>
      </c>
      <c r="E26" s="19">
        <f t="shared" si="9"/>
        <v>0</v>
      </c>
      <c r="F26" s="18">
        <v>17.5</v>
      </c>
      <c r="G26" s="19">
        <f t="shared" si="10"/>
        <v>0</v>
      </c>
      <c r="H26" s="18">
        <v>18.75</v>
      </c>
      <c r="I26" s="19">
        <f t="shared" si="11"/>
        <v>0</v>
      </c>
      <c r="J26" s="18">
        <v>26.25</v>
      </c>
      <c r="K26" s="19">
        <f t="shared" si="12"/>
        <v>0</v>
      </c>
      <c r="L26" s="18">
        <v>26.25</v>
      </c>
      <c r="M26" s="19">
        <f t="shared" si="13"/>
        <v>0</v>
      </c>
      <c r="N26" s="18">
        <v>23.75</v>
      </c>
      <c r="O26" s="19">
        <f t="shared" si="14"/>
        <v>0</v>
      </c>
      <c r="P26" s="20">
        <f t="shared" si="15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>
        <v>5</v>
      </c>
      <c r="B27" s="4" t="s">
        <v>42</v>
      </c>
      <c r="C27" s="4" t="s">
        <v>43</v>
      </c>
      <c r="D27" s="18">
        <v>48.75</v>
      </c>
      <c r="E27" s="19">
        <f t="shared" si="9"/>
        <v>0</v>
      </c>
      <c r="F27" s="18">
        <v>20</v>
      </c>
      <c r="G27" s="19">
        <f t="shared" si="10"/>
        <v>0</v>
      </c>
      <c r="H27" s="18">
        <v>16.25</v>
      </c>
      <c r="I27" s="19">
        <f t="shared" si="11"/>
        <v>0</v>
      </c>
      <c r="J27" s="18">
        <v>23.75</v>
      </c>
      <c r="K27" s="19">
        <f t="shared" si="12"/>
        <v>0</v>
      </c>
      <c r="L27" s="18">
        <v>40</v>
      </c>
      <c r="M27" s="19">
        <f t="shared" si="13"/>
        <v>0</v>
      </c>
      <c r="N27" s="18">
        <v>36.25</v>
      </c>
      <c r="O27" s="19">
        <f t="shared" si="14"/>
        <v>0</v>
      </c>
      <c r="P27" s="20">
        <f t="shared" si="15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>
        <v>6</v>
      </c>
      <c r="B28" s="4" t="s">
        <v>44</v>
      </c>
      <c r="C28" s="4" t="s">
        <v>45</v>
      </c>
      <c r="D28" s="18">
        <v>83.75</v>
      </c>
      <c r="E28" s="19">
        <f t="shared" si="9"/>
        <v>3</v>
      </c>
      <c r="F28" s="18">
        <v>20</v>
      </c>
      <c r="G28" s="19">
        <f t="shared" si="10"/>
        <v>0</v>
      </c>
      <c r="H28" s="18">
        <v>0</v>
      </c>
      <c r="I28" s="19">
        <f t="shared" si="11"/>
        <v>0</v>
      </c>
      <c r="J28" s="18">
        <v>62.5</v>
      </c>
      <c r="K28" s="19">
        <f t="shared" si="12"/>
        <v>2</v>
      </c>
      <c r="L28" s="18">
        <v>40</v>
      </c>
      <c r="M28" s="19">
        <f t="shared" si="13"/>
        <v>0</v>
      </c>
      <c r="N28" s="18">
        <v>91.25</v>
      </c>
      <c r="O28" s="19">
        <f t="shared" si="14"/>
        <v>3</v>
      </c>
      <c r="P28" s="20">
        <f t="shared" si="15"/>
        <v>8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>
        <v>7</v>
      </c>
      <c r="B29" s="4" t="s">
        <v>46</v>
      </c>
      <c r="C29" s="4" t="s">
        <v>47</v>
      </c>
      <c r="D29" s="18">
        <v>90</v>
      </c>
      <c r="E29" s="19">
        <f t="shared" si="9"/>
        <v>3</v>
      </c>
      <c r="F29" s="18">
        <v>71.25</v>
      </c>
      <c r="G29" s="19">
        <f t="shared" si="10"/>
        <v>2</v>
      </c>
      <c r="H29" s="18">
        <v>61.25</v>
      </c>
      <c r="I29" s="19">
        <f t="shared" si="11"/>
        <v>2</v>
      </c>
      <c r="J29" s="18">
        <v>82.5</v>
      </c>
      <c r="K29" s="19">
        <f t="shared" si="12"/>
        <v>3</v>
      </c>
      <c r="L29" s="18">
        <v>62.5</v>
      </c>
      <c r="M29" s="19">
        <f t="shared" si="13"/>
        <v>2</v>
      </c>
      <c r="N29" s="18">
        <v>70</v>
      </c>
      <c r="O29" s="19">
        <f t="shared" si="14"/>
        <v>2</v>
      </c>
      <c r="P29" s="20">
        <f t="shared" si="15"/>
        <v>14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7">
        <v>8</v>
      </c>
      <c r="B30" s="4" t="s">
        <v>48</v>
      </c>
      <c r="C30" s="4" t="s">
        <v>49</v>
      </c>
      <c r="D30" s="18">
        <v>51.25</v>
      </c>
      <c r="E30" s="19">
        <f t="shared" si="9"/>
        <v>0</v>
      </c>
      <c r="F30" s="18">
        <v>35</v>
      </c>
      <c r="G30" s="19">
        <f t="shared" si="10"/>
        <v>0</v>
      </c>
      <c r="H30" s="18">
        <v>38.75</v>
      </c>
      <c r="I30" s="19">
        <f t="shared" si="11"/>
        <v>0</v>
      </c>
      <c r="J30" s="18">
        <v>51.25</v>
      </c>
      <c r="K30" s="19">
        <f t="shared" si="12"/>
        <v>0</v>
      </c>
      <c r="L30" s="18">
        <v>22.5</v>
      </c>
      <c r="M30" s="19">
        <f t="shared" si="13"/>
        <v>0</v>
      </c>
      <c r="N30" s="18">
        <v>43.75</v>
      </c>
      <c r="O30" s="19">
        <f t="shared" si="14"/>
        <v>0</v>
      </c>
      <c r="P30" s="20">
        <f t="shared" si="15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>
        <v>9</v>
      </c>
      <c r="B31" s="4" t="s">
        <v>50</v>
      </c>
      <c r="C31" s="4" t="s">
        <v>51</v>
      </c>
      <c r="D31" s="18">
        <v>78.75</v>
      </c>
      <c r="E31" s="19">
        <f t="shared" si="9"/>
        <v>2</v>
      </c>
      <c r="F31" s="18">
        <v>55</v>
      </c>
      <c r="G31" s="19">
        <f t="shared" si="10"/>
        <v>0</v>
      </c>
      <c r="H31" s="18">
        <v>50</v>
      </c>
      <c r="I31" s="19">
        <f t="shared" si="11"/>
        <v>0</v>
      </c>
      <c r="J31" s="18">
        <v>91.25</v>
      </c>
      <c r="K31" s="19">
        <f t="shared" si="12"/>
        <v>3</v>
      </c>
      <c r="L31" s="18">
        <v>86.25</v>
      </c>
      <c r="M31" s="19">
        <f t="shared" si="13"/>
        <v>3</v>
      </c>
      <c r="N31" s="18">
        <v>81.25</v>
      </c>
      <c r="O31" s="19">
        <f t="shared" si="14"/>
        <v>3</v>
      </c>
      <c r="P31" s="20">
        <f t="shared" si="15"/>
        <v>11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>
        <v>10</v>
      </c>
      <c r="B32" s="4" t="s">
        <v>52</v>
      </c>
      <c r="C32" s="4" t="s">
        <v>53</v>
      </c>
      <c r="D32" s="21">
        <v>78.75</v>
      </c>
      <c r="E32" s="19">
        <f t="shared" si="9"/>
        <v>2</v>
      </c>
      <c r="F32" s="21">
        <v>63.75</v>
      </c>
      <c r="G32" s="19">
        <f t="shared" si="10"/>
        <v>2</v>
      </c>
      <c r="H32" s="21">
        <v>53.75</v>
      </c>
      <c r="I32" s="19">
        <f t="shared" si="11"/>
        <v>0</v>
      </c>
      <c r="J32" s="21">
        <v>60</v>
      </c>
      <c r="K32" s="19">
        <f t="shared" si="12"/>
        <v>0</v>
      </c>
      <c r="L32" s="21">
        <v>75</v>
      </c>
      <c r="M32" s="19">
        <f t="shared" si="13"/>
        <v>2</v>
      </c>
      <c r="N32" s="21">
        <v>57.5</v>
      </c>
      <c r="O32" s="19">
        <f t="shared" si="14"/>
        <v>0</v>
      </c>
      <c r="P32" s="20">
        <f t="shared" si="15"/>
        <v>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>
        <v>11</v>
      </c>
      <c r="B33" s="4"/>
      <c r="C33" s="4"/>
      <c r="D33" s="21"/>
      <c r="E33" s="19" t="str">
        <f t="shared" si="9"/>
        <v/>
      </c>
      <c r="F33" s="21"/>
      <c r="G33" s="19" t="str">
        <f t="shared" si="10"/>
        <v/>
      </c>
      <c r="H33" s="21"/>
      <c r="I33" s="19" t="str">
        <f t="shared" si="11"/>
        <v/>
      </c>
      <c r="J33" s="21"/>
      <c r="K33" s="19" t="str">
        <f t="shared" si="12"/>
        <v/>
      </c>
      <c r="L33" s="21"/>
      <c r="M33" s="19" t="str">
        <f t="shared" si="13"/>
        <v/>
      </c>
      <c r="N33" s="21"/>
      <c r="O33" s="19" t="str">
        <f t="shared" si="14"/>
        <v/>
      </c>
      <c r="P33" s="20">
        <f t="shared" si="15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>
        <v>12</v>
      </c>
      <c r="B34" s="4"/>
      <c r="C34" s="4"/>
      <c r="D34" s="21"/>
      <c r="E34" s="19" t="str">
        <f t="shared" si="9"/>
        <v/>
      </c>
      <c r="F34" s="21"/>
      <c r="G34" s="19" t="str">
        <f t="shared" si="10"/>
        <v/>
      </c>
      <c r="H34" s="21"/>
      <c r="I34" s="19" t="str">
        <f t="shared" si="11"/>
        <v/>
      </c>
      <c r="J34" s="21"/>
      <c r="K34" s="19" t="str">
        <f t="shared" si="12"/>
        <v/>
      </c>
      <c r="L34" s="21"/>
      <c r="M34" s="19" t="str">
        <f t="shared" si="13"/>
        <v/>
      </c>
      <c r="N34" s="21"/>
      <c r="O34" s="19" t="str">
        <f t="shared" si="14"/>
        <v/>
      </c>
      <c r="P34" s="20">
        <f t="shared" si="15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23"/>
      <c r="B35" s="24"/>
      <c r="C35" s="24" t="s">
        <v>15</v>
      </c>
      <c r="D35" s="24"/>
      <c r="E35" s="25">
        <f>SUM(E23:E34)</f>
        <v>12</v>
      </c>
      <c r="F35" s="25"/>
      <c r="G35" s="25">
        <f>SUM(G23:G34)</f>
        <v>4</v>
      </c>
      <c r="H35" s="25"/>
      <c r="I35" s="25">
        <f>SUM(I23:I34)</f>
        <v>2</v>
      </c>
      <c r="J35" s="25"/>
      <c r="K35" s="25">
        <f>SUM(K23:K34)</f>
        <v>10</v>
      </c>
      <c r="L35" s="25"/>
      <c r="M35" s="25">
        <f>SUM(M23:M34)</f>
        <v>7</v>
      </c>
      <c r="N35" s="25"/>
      <c r="O35" s="25">
        <f>SUM(O23:O34)</f>
        <v>12</v>
      </c>
      <c r="P35" s="26">
        <f t="shared" si="15"/>
        <v>47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27"/>
      <c r="B36" s="28"/>
      <c r="C36" s="28" t="s">
        <v>16</v>
      </c>
      <c r="D36" s="28"/>
      <c r="E36" s="29">
        <f>E35/COUNTA(C23:C34)</f>
        <v>1.2</v>
      </c>
      <c r="F36" s="29"/>
      <c r="G36" s="29">
        <f>G35/COUNTA(C23:C34)</f>
        <v>0.4</v>
      </c>
      <c r="H36" s="29"/>
      <c r="I36" s="29">
        <f>I35/COUNTA(C23:C34)</f>
        <v>0.2</v>
      </c>
      <c r="J36" s="29"/>
      <c r="K36" s="29">
        <f>K35/COUNTA(C23:C34)</f>
        <v>1</v>
      </c>
      <c r="L36" s="29"/>
      <c r="M36" s="29">
        <f>M35/COUNTA(C23:C34)</f>
        <v>0.7</v>
      </c>
      <c r="N36" s="29"/>
      <c r="O36" s="29">
        <f>O35/COUNTA(C23:C34)</f>
        <v>1.2</v>
      </c>
      <c r="P36" s="30">
        <f>P35/COUNTA(C23:C34)</f>
        <v>4.7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 x14ac:dyDescent="0.2">
      <c r="A37" s="74" t="s">
        <v>18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78" t="str">
        <f t="shared" ref="A38:D38" si="16">A4</f>
        <v>S.NO</v>
      </c>
      <c r="B38" s="75" t="str">
        <f t="shared" si="16"/>
        <v xml:space="preserve">ADMN NO </v>
      </c>
      <c r="C38" s="75" t="str">
        <f t="shared" si="16"/>
        <v>NAME OF THE STUDENT</v>
      </c>
      <c r="D38" s="76" t="str">
        <f t="shared" si="16"/>
        <v>ENGLISH</v>
      </c>
      <c r="E38" s="63"/>
      <c r="F38" s="76" t="str">
        <f>F4</f>
        <v>MATHS</v>
      </c>
      <c r="G38" s="63"/>
      <c r="H38" s="76" t="str">
        <f>H4</f>
        <v>SCIENCE</v>
      </c>
      <c r="I38" s="63"/>
      <c r="J38" s="76" t="str">
        <f>J4</f>
        <v>SOCIAL SCIENCE</v>
      </c>
      <c r="K38" s="63"/>
      <c r="L38" s="76" t="str">
        <f>L4</f>
        <v>TAMIL</v>
      </c>
      <c r="M38" s="63"/>
      <c r="N38" s="76" t="str">
        <f>N4</f>
        <v>ARABIC</v>
      </c>
      <c r="O38" s="63"/>
      <c r="P38" s="77" t="str">
        <f>P4</f>
        <v>TOTAL POINTS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67"/>
      <c r="B39" s="60"/>
      <c r="C39" s="60"/>
      <c r="D39" s="22" t="str">
        <f t="shared" ref="D39:O39" si="17">D5</f>
        <v>Percentage</v>
      </c>
      <c r="E39" s="22" t="str">
        <f t="shared" si="17"/>
        <v>Points</v>
      </c>
      <c r="F39" s="22" t="str">
        <f t="shared" si="17"/>
        <v>Percentage</v>
      </c>
      <c r="G39" s="22" t="str">
        <f t="shared" si="17"/>
        <v>Points</v>
      </c>
      <c r="H39" s="22" t="str">
        <f t="shared" si="17"/>
        <v>Percentage</v>
      </c>
      <c r="I39" s="22" t="str">
        <f t="shared" si="17"/>
        <v>Points</v>
      </c>
      <c r="J39" s="22" t="str">
        <f t="shared" si="17"/>
        <v>Percentage</v>
      </c>
      <c r="K39" s="22" t="str">
        <f t="shared" si="17"/>
        <v>Points</v>
      </c>
      <c r="L39" s="22" t="str">
        <f t="shared" si="17"/>
        <v>Percentage</v>
      </c>
      <c r="M39" s="22" t="str">
        <f t="shared" si="17"/>
        <v>Points</v>
      </c>
      <c r="N39" s="22" t="str">
        <f t="shared" si="17"/>
        <v>Percentage</v>
      </c>
      <c r="O39" s="22" t="str">
        <f t="shared" si="17"/>
        <v>Points</v>
      </c>
      <c r="P39" s="6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7">
        <v>1</v>
      </c>
      <c r="B40" s="4" t="s">
        <v>54</v>
      </c>
      <c r="C40" s="4" t="s">
        <v>55</v>
      </c>
      <c r="D40" s="18">
        <v>76.25</v>
      </c>
      <c r="E40" s="31">
        <f t="shared" ref="E40:E51" si="18">IF(D40="","",IF(D40&gt;=95,5,IF(AND(D40&gt;=81,D40&lt;=94),3,IF(AND(D40&gt;=61,D40&lt;=80),2,0))))</f>
        <v>2</v>
      </c>
      <c r="F40" s="18">
        <v>46.25</v>
      </c>
      <c r="G40" s="31">
        <f t="shared" ref="G40:G51" si="19">IF(F40="","",IF(F40&gt;=95,5,IF(AND(F40&gt;=81,F40&lt;=94),3,IF(AND(F40&gt;=61,F40&lt;=80),2,0))))</f>
        <v>0</v>
      </c>
      <c r="H40" s="18">
        <v>43.75</v>
      </c>
      <c r="I40" s="31">
        <f t="shared" ref="I40:I51" si="20">IF(H40="","",IF(H40&gt;=95,5,IF(AND(H40&gt;=81,H40&lt;=94),3,IF(AND(H40&gt;=61,H40&lt;=80),2,0))))</f>
        <v>0</v>
      </c>
      <c r="J40" s="18">
        <v>43.75</v>
      </c>
      <c r="K40" s="31">
        <f>IF(J40="","",IF(J40&gt;=95,5,IF(AND(J40&gt;=81,J40&lt;=94),3,IF(AND(J240&gt;=61,J40&lt;=80),2,0))))</f>
        <v>0</v>
      </c>
      <c r="L40" s="18">
        <v>47.5</v>
      </c>
      <c r="M40" s="31">
        <f t="shared" ref="M40:M51" si="21">IF(L40="","",IF(L40&gt;=95,5,IF(AND(L40&gt;=81,L40&lt;=94),3,IF(AND(L40&gt;=61,L40&lt;=80),2,0))))</f>
        <v>0</v>
      </c>
      <c r="N40" s="18">
        <v>18.75</v>
      </c>
      <c r="O40" s="31">
        <f t="shared" ref="O40:O51" si="22">IF(N40="","",IF(N40&gt;=95,5,IF(AND(N40&gt;=81,N40&lt;=94),3,IF(AND(N40&gt;=61,N40&lt;=80),2,0))))</f>
        <v>0</v>
      </c>
      <c r="P40" s="32">
        <f t="shared" ref="P40:P52" si="23">SUM(E40,G40,I40,K40,M40,O40)</f>
        <v>2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7">
        <v>2</v>
      </c>
      <c r="B41" s="4" t="s">
        <v>56</v>
      </c>
      <c r="C41" s="4" t="s">
        <v>57</v>
      </c>
      <c r="D41" s="18">
        <v>36.25</v>
      </c>
      <c r="E41" s="31">
        <f t="shared" si="18"/>
        <v>0</v>
      </c>
      <c r="F41" s="18">
        <v>17.5</v>
      </c>
      <c r="G41" s="31">
        <f t="shared" si="19"/>
        <v>0</v>
      </c>
      <c r="H41" s="18">
        <v>22.5</v>
      </c>
      <c r="I41" s="31">
        <f t="shared" si="20"/>
        <v>0</v>
      </c>
      <c r="J41" s="18">
        <v>40</v>
      </c>
      <c r="K41" s="31">
        <f>IF(J41="","",IF(J41&gt;=95,5,IF(AND(J41&gt;=81,J41&lt;=94),3,IF(AND(J241&gt;=61,J41&lt;=80),2,0))))</f>
        <v>0</v>
      </c>
      <c r="L41" s="18">
        <v>47.5</v>
      </c>
      <c r="M41" s="31">
        <f t="shared" si="21"/>
        <v>0</v>
      </c>
      <c r="N41" s="18">
        <v>65</v>
      </c>
      <c r="O41" s="31">
        <f t="shared" si="22"/>
        <v>2</v>
      </c>
      <c r="P41" s="32">
        <f t="shared" si="23"/>
        <v>2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7">
        <v>3</v>
      </c>
      <c r="B42" s="4" t="s">
        <v>58</v>
      </c>
      <c r="C42" s="4" t="s">
        <v>59</v>
      </c>
      <c r="D42" s="18">
        <v>48.75</v>
      </c>
      <c r="E42" s="31">
        <f t="shared" si="18"/>
        <v>0</v>
      </c>
      <c r="F42" s="18">
        <v>41.25</v>
      </c>
      <c r="G42" s="31">
        <f t="shared" si="19"/>
        <v>0</v>
      </c>
      <c r="H42" s="18">
        <v>26.25</v>
      </c>
      <c r="I42" s="31">
        <f t="shared" si="20"/>
        <v>0</v>
      </c>
      <c r="J42" s="18">
        <v>50</v>
      </c>
      <c r="K42" s="31">
        <f>IF(J42="","",IF(J42&gt;=95,5,IF(AND(J42&gt;=81,J42&lt;=94),3,IF(AND(J242&gt;=61,J42&lt;=80),2,0))))</f>
        <v>0</v>
      </c>
      <c r="L42" s="18">
        <v>51.25</v>
      </c>
      <c r="M42" s="31">
        <f t="shared" si="21"/>
        <v>0</v>
      </c>
      <c r="N42" s="18">
        <v>38.75</v>
      </c>
      <c r="O42" s="31">
        <f t="shared" si="22"/>
        <v>0</v>
      </c>
      <c r="P42" s="32">
        <f t="shared" si="23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7">
        <v>4</v>
      </c>
      <c r="B43" s="4" t="s">
        <v>60</v>
      </c>
      <c r="C43" s="4" t="s">
        <v>61</v>
      </c>
      <c r="D43" s="18">
        <v>70</v>
      </c>
      <c r="E43" s="31">
        <f t="shared" si="18"/>
        <v>2</v>
      </c>
      <c r="F43" s="18">
        <v>36.25</v>
      </c>
      <c r="G43" s="31">
        <f t="shared" si="19"/>
        <v>0</v>
      </c>
      <c r="H43" s="18">
        <v>41.25</v>
      </c>
      <c r="I43" s="31">
        <f t="shared" si="20"/>
        <v>0</v>
      </c>
      <c r="J43" s="18">
        <v>66.25</v>
      </c>
      <c r="K43" s="31">
        <f>IF(J43="","",IF(J43&gt;=95,5,IF(AND(J43&gt;=81,J43&lt;=94),3,IF(AND(J243&gt;=61,J43&lt;=80),2,0))))</f>
        <v>0</v>
      </c>
      <c r="L43" s="18">
        <v>45</v>
      </c>
      <c r="M43" s="31">
        <f t="shared" si="21"/>
        <v>0</v>
      </c>
      <c r="N43" s="18">
        <v>72.5</v>
      </c>
      <c r="O43" s="31">
        <f t="shared" si="22"/>
        <v>2</v>
      </c>
      <c r="P43" s="32">
        <f t="shared" si="23"/>
        <v>4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7">
        <v>5</v>
      </c>
      <c r="B44" s="4" t="s">
        <v>62</v>
      </c>
      <c r="C44" s="4" t="s">
        <v>63</v>
      </c>
      <c r="D44" s="18">
        <v>42.5</v>
      </c>
      <c r="E44" s="31">
        <f t="shared" si="18"/>
        <v>0</v>
      </c>
      <c r="F44" s="18">
        <v>18.75</v>
      </c>
      <c r="G44" s="31">
        <f t="shared" si="19"/>
        <v>0</v>
      </c>
      <c r="H44" s="18">
        <v>15</v>
      </c>
      <c r="I44" s="31">
        <f t="shared" si="20"/>
        <v>0</v>
      </c>
      <c r="J44" s="18">
        <v>38.75</v>
      </c>
      <c r="K44" s="31">
        <f>IF(J44="","",IF(J44&gt;=95,5,IF(AND(J44&gt;=81,J44&lt;=94),3,IF(AND(J244&gt;=61,J44&lt;=80),2,0))))</f>
        <v>0</v>
      </c>
      <c r="L44" s="18">
        <v>33.75</v>
      </c>
      <c r="M44" s="31">
        <f t="shared" si="21"/>
        <v>0</v>
      </c>
      <c r="N44" s="18">
        <v>27.5</v>
      </c>
      <c r="O44" s="31">
        <f t="shared" si="22"/>
        <v>0</v>
      </c>
      <c r="P44" s="32">
        <f t="shared" si="23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7">
        <v>6</v>
      </c>
      <c r="B45" s="4" t="s">
        <v>64</v>
      </c>
      <c r="C45" s="4" t="s">
        <v>65</v>
      </c>
      <c r="D45" s="18">
        <v>55</v>
      </c>
      <c r="E45" s="31">
        <f t="shared" si="18"/>
        <v>0</v>
      </c>
      <c r="F45" s="18">
        <v>31.25</v>
      </c>
      <c r="G45" s="31">
        <f t="shared" si="19"/>
        <v>0</v>
      </c>
      <c r="H45" s="18">
        <v>36.25</v>
      </c>
      <c r="I45" s="31">
        <f t="shared" si="20"/>
        <v>0</v>
      </c>
      <c r="J45" s="18">
        <v>52.5</v>
      </c>
      <c r="K45" s="31">
        <f>IF(J45="","",IF(J45&gt;=95,5,IF(AND(J45&gt;=81,J45&lt;=94),3,IF(AND(J245&gt;=61,J45&lt;=80),2,0))))</f>
        <v>0</v>
      </c>
      <c r="L45" s="18">
        <v>47.5</v>
      </c>
      <c r="M45" s="31">
        <f t="shared" si="21"/>
        <v>0</v>
      </c>
      <c r="N45" s="18">
        <v>10</v>
      </c>
      <c r="O45" s="31">
        <f t="shared" si="22"/>
        <v>0</v>
      </c>
      <c r="P45" s="32">
        <f t="shared" si="23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7">
        <v>7</v>
      </c>
      <c r="B46" s="4" t="s">
        <v>66</v>
      </c>
      <c r="C46" s="4" t="s">
        <v>67</v>
      </c>
      <c r="D46" s="18">
        <v>66.25</v>
      </c>
      <c r="E46" s="31">
        <f t="shared" si="18"/>
        <v>2</v>
      </c>
      <c r="F46" s="18">
        <v>35</v>
      </c>
      <c r="G46" s="31">
        <f t="shared" si="19"/>
        <v>0</v>
      </c>
      <c r="H46" s="18">
        <v>21.25</v>
      </c>
      <c r="I46" s="31">
        <f t="shared" si="20"/>
        <v>0</v>
      </c>
      <c r="J46" s="18">
        <v>42.5</v>
      </c>
      <c r="K46" s="31">
        <f>IF(J46="","",IF(J46&gt;=95,5,IF(AND(J46&gt;=81,J46&lt;=94),3,IF(AND(J246&gt;=61,J46&lt;=80),2,0))))</f>
        <v>0</v>
      </c>
      <c r="L46" s="18">
        <v>28.75</v>
      </c>
      <c r="M46" s="31">
        <f t="shared" si="21"/>
        <v>0</v>
      </c>
      <c r="N46" s="18">
        <v>57.5</v>
      </c>
      <c r="O46" s="31">
        <f t="shared" si="22"/>
        <v>0</v>
      </c>
      <c r="P46" s="32">
        <f t="shared" si="23"/>
        <v>2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7">
        <v>8</v>
      </c>
      <c r="B47" s="4"/>
      <c r="C47" s="4"/>
      <c r="D47" s="18"/>
      <c r="E47" s="31" t="str">
        <f t="shared" si="18"/>
        <v/>
      </c>
      <c r="F47" s="18"/>
      <c r="G47" s="31" t="str">
        <f t="shared" si="19"/>
        <v/>
      </c>
      <c r="H47" s="18"/>
      <c r="I47" s="31" t="str">
        <f t="shared" si="20"/>
        <v/>
      </c>
      <c r="J47" s="18"/>
      <c r="K47" s="31" t="str">
        <f t="shared" ref="K40:K51" si="24">IF(J47="","",IF(J47&gt;=95,5,IF(AND(J47&gt;=81,J47&lt;=94),3,IF(AND(J248&gt;=61,J47&lt;=80),2,0))))</f>
        <v/>
      </c>
      <c r="L47" s="18"/>
      <c r="M47" s="31" t="str">
        <f t="shared" si="21"/>
        <v/>
      </c>
      <c r="N47" s="18"/>
      <c r="O47" s="31" t="str">
        <f t="shared" si="22"/>
        <v/>
      </c>
      <c r="P47" s="32">
        <f t="shared" si="23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7">
        <v>9</v>
      </c>
      <c r="B48" s="4"/>
      <c r="C48" s="4"/>
      <c r="D48" s="18"/>
      <c r="E48" s="31" t="str">
        <f t="shared" si="18"/>
        <v/>
      </c>
      <c r="F48" s="18"/>
      <c r="G48" s="31" t="str">
        <f t="shared" si="19"/>
        <v/>
      </c>
      <c r="H48" s="18"/>
      <c r="I48" s="31" t="str">
        <f t="shared" si="20"/>
        <v/>
      </c>
      <c r="J48" s="18"/>
      <c r="K48" s="31" t="str">
        <f t="shared" si="24"/>
        <v/>
      </c>
      <c r="L48" s="18"/>
      <c r="M48" s="31" t="str">
        <f t="shared" si="21"/>
        <v/>
      </c>
      <c r="N48" s="18"/>
      <c r="O48" s="31" t="str">
        <f t="shared" si="22"/>
        <v/>
      </c>
      <c r="P48" s="32">
        <f t="shared" si="23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7">
        <v>10</v>
      </c>
      <c r="B49" s="4"/>
      <c r="C49" s="4"/>
      <c r="D49" s="21"/>
      <c r="E49" s="31" t="str">
        <f t="shared" si="18"/>
        <v/>
      </c>
      <c r="F49" s="21"/>
      <c r="G49" s="31" t="str">
        <f t="shared" si="19"/>
        <v/>
      </c>
      <c r="H49" s="21"/>
      <c r="I49" s="31" t="str">
        <f t="shared" si="20"/>
        <v/>
      </c>
      <c r="J49" s="21"/>
      <c r="K49" s="31" t="str">
        <f t="shared" si="24"/>
        <v/>
      </c>
      <c r="L49" s="21"/>
      <c r="M49" s="31" t="str">
        <f t="shared" si="21"/>
        <v/>
      </c>
      <c r="N49" s="21"/>
      <c r="O49" s="31" t="str">
        <f t="shared" si="22"/>
        <v/>
      </c>
      <c r="P49" s="32">
        <f t="shared" si="23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7">
        <v>11</v>
      </c>
      <c r="B50" s="4"/>
      <c r="C50" s="4"/>
      <c r="D50" s="21"/>
      <c r="E50" s="31" t="str">
        <f t="shared" si="18"/>
        <v/>
      </c>
      <c r="F50" s="21"/>
      <c r="G50" s="31" t="str">
        <f t="shared" si="19"/>
        <v/>
      </c>
      <c r="H50" s="21"/>
      <c r="I50" s="31" t="str">
        <f t="shared" si="20"/>
        <v/>
      </c>
      <c r="J50" s="21"/>
      <c r="K50" s="31" t="str">
        <f t="shared" si="24"/>
        <v/>
      </c>
      <c r="L50" s="21"/>
      <c r="M50" s="31" t="str">
        <f t="shared" si="21"/>
        <v/>
      </c>
      <c r="N50" s="21"/>
      <c r="O50" s="31" t="str">
        <f t="shared" si="22"/>
        <v/>
      </c>
      <c r="P50" s="32">
        <f t="shared" si="23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7">
        <v>12</v>
      </c>
      <c r="B51" s="4"/>
      <c r="C51" s="4"/>
      <c r="D51" s="21"/>
      <c r="E51" s="31" t="str">
        <f t="shared" si="18"/>
        <v/>
      </c>
      <c r="F51" s="21"/>
      <c r="G51" s="31" t="str">
        <f t="shared" si="19"/>
        <v/>
      </c>
      <c r="H51" s="21"/>
      <c r="I51" s="31" t="str">
        <f t="shared" si="20"/>
        <v/>
      </c>
      <c r="J51" s="21"/>
      <c r="K51" s="31" t="str">
        <f t="shared" si="24"/>
        <v/>
      </c>
      <c r="L51" s="21"/>
      <c r="M51" s="31" t="str">
        <f t="shared" si="21"/>
        <v/>
      </c>
      <c r="N51" s="21"/>
      <c r="O51" s="31" t="str">
        <f t="shared" si="22"/>
        <v/>
      </c>
      <c r="P51" s="32">
        <f t="shared" si="23"/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4"/>
      <c r="B52" s="35"/>
      <c r="C52" s="35" t="s">
        <v>15</v>
      </c>
      <c r="D52" s="35"/>
      <c r="E52" s="36">
        <f>SUM(E40:E51)</f>
        <v>6</v>
      </c>
      <c r="F52" s="36"/>
      <c r="G52" s="36">
        <f>SUM(G40:G51)</f>
        <v>0</v>
      </c>
      <c r="H52" s="36"/>
      <c r="I52" s="36">
        <f>SUM(I40:I51)</f>
        <v>0</v>
      </c>
      <c r="J52" s="36"/>
      <c r="K52" s="36">
        <f>SUM(K40:K51)</f>
        <v>0</v>
      </c>
      <c r="L52" s="36"/>
      <c r="M52" s="36">
        <f>SUM(M40:M51)</f>
        <v>0</v>
      </c>
      <c r="N52" s="36"/>
      <c r="O52" s="36">
        <f>SUM(O40:O51)</f>
        <v>4</v>
      </c>
      <c r="P52" s="37">
        <f t="shared" si="23"/>
        <v>10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38"/>
      <c r="B53" s="39"/>
      <c r="C53" s="39" t="s">
        <v>16</v>
      </c>
      <c r="D53" s="39"/>
      <c r="E53" s="40">
        <f>E52/COUNTA(C40:C51)</f>
        <v>0.8571428571428571</v>
      </c>
      <c r="F53" s="40"/>
      <c r="G53" s="40">
        <f>G52/COUNTA(C40:C51)</f>
        <v>0</v>
      </c>
      <c r="H53" s="40"/>
      <c r="I53" s="40">
        <f>I52/COUNTA(C40:C51)</f>
        <v>0</v>
      </c>
      <c r="J53" s="40"/>
      <c r="K53" s="40">
        <f>K52/COUNTA(C40:C51)</f>
        <v>0</v>
      </c>
      <c r="L53" s="40"/>
      <c r="M53" s="40">
        <f>M52/COUNTA(C40:C51)</f>
        <v>0</v>
      </c>
      <c r="N53" s="40"/>
      <c r="O53" s="40">
        <f>O52/COUNTA(C40:C51)</f>
        <v>0.5714285714285714</v>
      </c>
      <c r="P53" s="41">
        <f>P52/COUNTA(C40:C51)</f>
        <v>1.4285714285714286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customHeight="1" x14ac:dyDescent="0.2">
      <c r="A54" s="83" t="s">
        <v>19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8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79" t="str">
        <f t="shared" ref="A55:D55" si="25">A4</f>
        <v>S.NO</v>
      </c>
      <c r="B55" s="80" t="str">
        <f t="shared" si="25"/>
        <v xml:space="preserve">ADMN NO </v>
      </c>
      <c r="C55" s="80" t="str">
        <f t="shared" si="25"/>
        <v>NAME OF THE STUDENT</v>
      </c>
      <c r="D55" s="81" t="str">
        <f t="shared" si="25"/>
        <v>ENGLISH</v>
      </c>
      <c r="E55" s="63"/>
      <c r="F55" s="81" t="str">
        <f>F4</f>
        <v>MATHS</v>
      </c>
      <c r="G55" s="63"/>
      <c r="H55" s="81" t="str">
        <f>H4</f>
        <v>SCIENCE</v>
      </c>
      <c r="I55" s="63"/>
      <c r="J55" s="81" t="str">
        <f>J4</f>
        <v>SOCIAL SCIENCE</v>
      </c>
      <c r="K55" s="63"/>
      <c r="L55" s="81" t="str">
        <f>L4</f>
        <v>TAMIL</v>
      </c>
      <c r="M55" s="63"/>
      <c r="N55" s="81" t="str">
        <f>N4</f>
        <v>ARABIC</v>
      </c>
      <c r="O55" s="63"/>
      <c r="P55" s="82" t="str">
        <f>P4</f>
        <v>TOTAL POINTS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67"/>
      <c r="B56" s="60"/>
      <c r="C56" s="60"/>
      <c r="D56" s="33" t="str">
        <f t="shared" ref="D56:O56" si="26">D5</f>
        <v>Percentage</v>
      </c>
      <c r="E56" s="33" t="str">
        <f t="shared" si="26"/>
        <v>Points</v>
      </c>
      <c r="F56" s="33" t="str">
        <f t="shared" si="26"/>
        <v>Percentage</v>
      </c>
      <c r="G56" s="33" t="str">
        <f t="shared" si="26"/>
        <v>Points</v>
      </c>
      <c r="H56" s="33" t="str">
        <f t="shared" si="26"/>
        <v>Percentage</v>
      </c>
      <c r="I56" s="33" t="str">
        <f t="shared" si="26"/>
        <v>Points</v>
      </c>
      <c r="J56" s="33" t="str">
        <f t="shared" si="26"/>
        <v>Percentage</v>
      </c>
      <c r="K56" s="33" t="str">
        <f t="shared" si="26"/>
        <v>Points</v>
      </c>
      <c r="L56" s="33" t="str">
        <f t="shared" si="26"/>
        <v>Percentage</v>
      </c>
      <c r="M56" s="33" t="str">
        <f t="shared" si="26"/>
        <v>Points</v>
      </c>
      <c r="N56" s="33" t="str">
        <f t="shared" si="26"/>
        <v>Percentage</v>
      </c>
      <c r="O56" s="33" t="str">
        <f t="shared" si="26"/>
        <v>Points</v>
      </c>
      <c r="P56" s="6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7">
        <v>1</v>
      </c>
      <c r="B57" s="4" t="s">
        <v>68</v>
      </c>
      <c r="C57" s="4" t="s">
        <v>69</v>
      </c>
      <c r="D57" s="18">
        <v>71.25</v>
      </c>
      <c r="E57" s="42">
        <f t="shared" ref="E57:E68" si="27">IF(D57="","",IF(D57&gt;=95,5,IF(AND(D57&gt;=81,D57&lt;=94),3,IF(AND(D57&gt;=61,D57&lt;=80),2,0))))</f>
        <v>2</v>
      </c>
      <c r="F57" s="18">
        <v>48.75</v>
      </c>
      <c r="G57" s="42">
        <f t="shared" ref="G57:G68" si="28">IF(F57="","",IF(F57&gt;=95,5,IF(AND(F57&gt;=81,F57&lt;=94),3,IF(AND(F57&gt;=61,F57&lt;=80),2,0))))</f>
        <v>0</v>
      </c>
      <c r="H57" s="18">
        <v>41.25</v>
      </c>
      <c r="I57" s="42">
        <f t="shared" ref="I57:I68" si="29">IF(H57="","",IF(H57&gt;=95,5,IF(AND(H57&gt;=81,H57&lt;=94),3,IF(AND(H57&gt;=61,H57&lt;=80),2,0))))</f>
        <v>0</v>
      </c>
      <c r="J57" s="18">
        <v>52.5</v>
      </c>
      <c r="K57" s="42">
        <f t="shared" ref="K57:K68" si="30">IF(J57="","",IF(J57&gt;=95,5,IF(AND(J57&gt;=81,J57&lt;=94),3,IF(AND(J57&gt;=61,J57&lt;=80),2,0))))</f>
        <v>0</v>
      </c>
      <c r="L57" s="18">
        <v>35</v>
      </c>
      <c r="M57" s="42">
        <f t="shared" ref="M57:M68" si="31">IF(L57="","",IF(L57&gt;=95,5,IF(AND(L57&gt;=81,L57&lt;=94),3,IF(AND(L57&gt;=61,L57&lt;=80),2,0))))</f>
        <v>0</v>
      </c>
      <c r="N57" s="18">
        <v>56.25</v>
      </c>
      <c r="O57" s="42">
        <f t="shared" ref="O57:O68" si="32">IF(N57="","",IF(N57&gt;=95,5,IF(AND(N57&gt;=81,N57&lt;=94),3,IF(AND(N57&gt;=61,N57&lt;=80),2,0))))</f>
        <v>0</v>
      </c>
      <c r="P57" s="43">
        <f t="shared" ref="P57:P69" si="33">SUM(E57,G57,I57,K57,M57,O57)</f>
        <v>2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7">
        <v>2</v>
      </c>
      <c r="B58" s="4" t="s">
        <v>70</v>
      </c>
      <c r="C58" s="4" t="s">
        <v>71</v>
      </c>
      <c r="D58" s="18">
        <v>66.25</v>
      </c>
      <c r="E58" s="42">
        <f t="shared" si="27"/>
        <v>2</v>
      </c>
      <c r="F58" s="18">
        <v>62.5</v>
      </c>
      <c r="G58" s="42">
        <f t="shared" si="28"/>
        <v>2</v>
      </c>
      <c r="H58" s="18">
        <v>38.75</v>
      </c>
      <c r="I58" s="42">
        <f t="shared" si="29"/>
        <v>0</v>
      </c>
      <c r="J58" s="18">
        <v>75</v>
      </c>
      <c r="K58" s="42">
        <f t="shared" si="30"/>
        <v>2</v>
      </c>
      <c r="L58" s="18">
        <v>60</v>
      </c>
      <c r="M58" s="42">
        <f t="shared" si="31"/>
        <v>0</v>
      </c>
      <c r="N58" s="18">
        <v>60</v>
      </c>
      <c r="O58" s="42">
        <f t="shared" si="32"/>
        <v>0</v>
      </c>
      <c r="P58" s="43">
        <f t="shared" si="33"/>
        <v>6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7">
        <v>3</v>
      </c>
      <c r="B59" s="4" t="s">
        <v>72</v>
      </c>
      <c r="C59" s="4" t="s">
        <v>73</v>
      </c>
      <c r="D59" s="18">
        <v>65</v>
      </c>
      <c r="E59" s="42">
        <f t="shared" si="27"/>
        <v>2</v>
      </c>
      <c r="F59" s="18">
        <v>76.25</v>
      </c>
      <c r="G59" s="42">
        <f t="shared" si="28"/>
        <v>2</v>
      </c>
      <c r="H59" s="18">
        <v>56.25</v>
      </c>
      <c r="I59" s="42">
        <f t="shared" si="29"/>
        <v>0</v>
      </c>
      <c r="J59" s="18">
        <v>56.25</v>
      </c>
      <c r="K59" s="42">
        <f t="shared" si="30"/>
        <v>0</v>
      </c>
      <c r="L59" s="18">
        <v>52.5</v>
      </c>
      <c r="M59" s="42">
        <f t="shared" si="31"/>
        <v>0</v>
      </c>
      <c r="N59" s="18">
        <v>86.25</v>
      </c>
      <c r="O59" s="42">
        <f t="shared" si="32"/>
        <v>3</v>
      </c>
      <c r="P59" s="43">
        <f t="shared" si="33"/>
        <v>7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7">
        <v>4</v>
      </c>
      <c r="B60" s="4" t="s">
        <v>74</v>
      </c>
      <c r="C60" s="4" t="s">
        <v>75</v>
      </c>
      <c r="D60" s="18">
        <v>77.5</v>
      </c>
      <c r="E60" s="42">
        <f t="shared" si="27"/>
        <v>2</v>
      </c>
      <c r="F60" s="18">
        <v>45</v>
      </c>
      <c r="G60" s="42">
        <f t="shared" si="28"/>
        <v>0</v>
      </c>
      <c r="H60" s="18">
        <v>48.75</v>
      </c>
      <c r="I60" s="42">
        <f t="shared" si="29"/>
        <v>0</v>
      </c>
      <c r="J60" s="18">
        <v>63.75</v>
      </c>
      <c r="K60" s="42">
        <f t="shared" si="30"/>
        <v>2</v>
      </c>
      <c r="L60" s="18">
        <v>71.25</v>
      </c>
      <c r="M60" s="42">
        <f t="shared" si="31"/>
        <v>2</v>
      </c>
      <c r="N60" s="18">
        <v>47.5</v>
      </c>
      <c r="O60" s="42">
        <f t="shared" si="32"/>
        <v>0</v>
      </c>
      <c r="P60" s="43">
        <f t="shared" si="33"/>
        <v>6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7">
        <v>5</v>
      </c>
      <c r="B61" s="4" t="s">
        <v>76</v>
      </c>
      <c r="C61" s="4" t="s">
        <v>77</v>
      </c>
      <c r="D61" s="18">
        <v>66.25</v>
      </c>
      <c r="E61" s="42">
        <f t="shared" si="27"/>
        <v>2</v>
      </c>
      <c r="F61" s="18">
        <v>86.25</v>
      </c>
      <c r="G61" s="42">
        <f t="shared" si="28"/>
        <v>3</v>
      </c>
      <c r="H61" s="18">
        <v>67.5</v>
      </c>
      <c r="I61" s="42">
        <f t="shared" si="29"/>
        <v>2</v>
      </c>
      <c r="J61" s="18">
        <v>88.75</v>
      </c>
      <c r="K61" s="42">
        <f t="shared" si="30"/>
        <v>3</v>
      </c>
      <c r="L61" s="18">
        <v>93.75</v>
      </c>
      <c r="M61" s="42">
        <f t="shared" si="31"/>
        <v>3</v>
      </c>
      <c r="N61" s="18">
        <v>95</v>
      </c>
      <c r="O61" s="42">
        <f t="shared" si="32"/>
        <v>5</v>
      </c>
      <c r="P61" s="43">
        <f t="shared" si="33"/>
        <v>18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7">
        <v>6</v>
      </c>
      <c r="B62" s="4" t="s">
        <v>78</v>
      </c>
      <c r="C62" s="4" t="s">
        <v>79</v>
      </c>
      <c r="D62" s="18">
        <v>62.5</v>
      </c>
      <c r="E62" s="42">
        <f t="shared" si="27"/>
        <v>2</v>
      </c>
      <c r="F62" s="18">
        <v>71.25</v>
      </c>
      <c r="G62" s="42">
        <f t="shared" si="28"/>
        <v>2</v>
      </c>
      <c r="H62" s="18">
        <v>41.25</v>
      </c>
      <c r="I62" s="42">
        <f t="shared" si="29"/>
        <v>0</v>
      </c>
      <c r="J62" s="18">
        <v>87.5</v>
      </c>
      <c r="K62" s="42">
        <f t="shared" si="30"/>
        <v>3</v>
      </c>
      <c r="L62" s="18">
        <v>90</v>
      </c>
      <c r="M62" s="42">
        <f t="shared" si="31"/>
        <v>3</v>
      </c>
      <c r="N62" s="18">
        <v>88.75</v>
      </c>
      <c r="O62" s="42">
        <f t="shared" si="32"/>
        <v>3</v>
      </c>
      <c r="P62" s="43">
        <f t="shared" si="33"/>
        <v>13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7">
        <v>7</v>
      </c>
      <c r="B63" s="4" t="s">
        <v>80</v>
      </c>
      <c r="C63" s="4" t="s">
        <v>81</v>
      </c>
      <c r="D63" s="18">
        <v>58.75</v>
      </c>
      <c r="E63" s="42">
        <f t="shared" si="27"/>
        <v>0</v>
      </c>
      <c r="F63" s="18">
        <v>41.25</v>
      </c>
      <c r="G63" s="42">
        <f t="shared" si="28"/>
        <v>0</v>
      </c>
      <c r="H63" s="18">
        <v>18.75</v>
      </c>
      <c r="I63" s="42">
        <f t="shared" si="29"/>
        <v>0</v>
      </c>
      <c r="J63" s="18">
        <v>62.5</v>
      </c>
      <c r="K63" s="42">
        <f t="shared" si="30"/>
        <v>2</v>
      </c>
      <c r="L63" s="18">
        <v>48.75</v>
      </c>
      <c r="M63" s="42">
        <f t="shared" si="31"/>
        <v>0</v>
      </c>
      <c r="N63" s="18">
        <v>38.75</v>
      </c>
      <c r="O63" s="42">
        <f t="shared" si="32"/>
        <v>0</v>
      </c>
      <c r="P63" s="43">
        <f t="shared" si="33"/>
        <v>2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7">
        <v>8</v>
      </c>
      <c r="B64" s="4" t="s">
        <v>82</v>
      </c>
      <c r="C64" s="4" t="s">
        <v>83</v>
      </c>
      <c r="D64" s="18">
        <v>56.25</v>
      </c>
      <c r="E64" s="42">
        <f t="shared" si="27"/>
        <v>0</v>
      </c>
      <c r="F64" s="18">
        <v>72.5</v>
      </c>
      <c r="G64" s="42">
        <f t="shared" si="28"/>
        <v>2</v>
      </c>
      <c r="H64" s="18">
        <v>41.25</v>
      </c>
      <c r="I64" s="42">
        <f t="shared" si="29"/>
        <v>0</v>
      </c>
      <c r="J64" s="18">
        <v>75</v>
      </c>
      <c r="K64" s="42">
        <f t="shared" si="30"/>
        <v>2</v>
      </c>
      <c r="L64" s="18">
        <v>85</v>
      </c>
      <c r="M64" s="42">
        <f t="shared" si="31"/>
        <v>3</v>
      </c>
      <c r="N64" s="18">
        <v>86.25</v>
      </c>
      <c r="O64" s="42">
        <f t="shared" si="32"/>
        <v>3</v>
      </c>
      <c r="P64" s="43">
        <f t="shared" si="33"/>
        <v>10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7">
        <v>9</v>
      </c>
      <c r="B65" s="4" t="s">
        <v>84</v>
      </c>
      <c r="C65" s="4" t="s">
        <v>85</v>
      </c>
      <c r="D65" s="18">
        <v>33.75</v>
      </c>
      <c r="E65" s="42">
        <f t="shared" si="27"/>
        <v>0</v>
      </c>
      <c r="F65" s="18">
        <v>17.5</v>
      </c>
      <c r="G65" s="42">
        <f t="shared" si="28"/>
        <v>0</v>
      </c>
      <c r="H65" s="18">
        <v>0</v>
      </c>
      <c r="I65" s="42">
        <f t="shared" si="29"/>
        <v>0</v>
      </c>
      <c r="J65" s="18">
        <v>33.75</v>
      </c>
      <c r="K65" s="42">
        <f t="shared" si="30"/>
        <v>0</v>
      </c>
      <c r="L65" s="18">
        <v>33.75</v>
      </c>
      <c r="M65" s="42">
        <f t="shared" si="31"/>
        <v>0</v>
      </c>
      <c r="N65" s="18">
        <v>20</v>
      </c>
      <c r="O65" s="42">
        <f t="shared" si="32"/>
        <v>0</v>
      </c>
      <c r="P65" s="43">
        <f t="shared" si="33"/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7">
        <v>10</v>
      </c>
      <c r="B66" s="4"/>
      <c r="C66" s="4"/>
      <c r="D66" s="18"/>
      <c r="E66" s="42" t="str">
        <f t="shared" si="27"/>
        <v/>
      </c>
      <c r="F66" s="18"/>
      <c r="G66" s="42" t="str">
        <f t="shared" si="28"/>
        <v/>
      </c>
      <c r="H66" s="18"/>
      <c r="I66" s="42" t="str">
        <f t="shared" si="29"/>
        <v/>
      </c>
      <c r="J66" s="18"/>
      <c r="K66" s="42" t="str">
        <f t="shared" si="30"/>
        <v/>
      </c>
      <c r="L66" s="18"/>
      <c r="M66" s="42" t="str">
        <f t="shared" si="31"/>
        <v/>
      </c>
      <c r="N66" s="18"/>
      <c r="O66" s="42" t="str">
        <f t="shared" si="32"/>
        <v/>
      </c>
      <c r="P66" s="43">
        <f t="shared" si="33"/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7">
        <v>11</v>
      </c>
      <c r="B67" s="4"/>
      <c r="C67" s="4"/>
      <c r="D67" s="21"/>
      <c r="E67" s="42" t="str">
        <f t="shared" si="27"/>
        <v/>
      </c>
      <c r="F67" s="21"/>
      <c r="G67" s="42" t="str">
        <f t="shared" si="28"/>
        <v/>
      </c>
      <c r="H67" s="21"/>
      <c r="I67" s="42" t="str">
        <f t="shared" si="29"/>
        <v/>
      </c>
      <c r="J67" s="21"/>
      <c r="K67" s="42" t="str">
        <f t="shared" si="30"/>
        <v/>
      </c>
      <c r="L67" s="21"/>
      <c r="M67" s="42" t="str">
        <f t="shared" si="31"/>
        <v/>
      </c>
      <c r="N67" s="21"/>
      <c r="O67" s="42" t="str">
        <f t="shared" si="32"/>
        <v/>
      </c>
      <c r="P67" s="43">
        <f t="shared" si="33"/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7">
        <v>12</v>
      </c>
      <c r="B68" s="4"/>
      <c r="C68" s="4"/>
      <c r="D68" s="21"/>
      <c r="E68" s="42" t="str">
        <f t="shared" si="27"/>
        <v/>
      </c>
      <c r="F68" s="21"/>
      <c r="G68" s="42" t="str">
        <f t="shared" si="28"/>
        <v/>
      </c>
      <c r="H68" s="21"/>
      <c r="I68" s="42" t="str">
        <f t="shared" si="29"/>
        <v/>
      </c>
      <c r="J68" s="21"/>
      <c r="K68" s="42" t="str">
        <f t="shared" si="30"/>
        <v/>
      </c>
      <c r="L68" s="21"/>
      <c r="M68" s="42" t="str">
        <f t="shared" si="31"/>
        <v/>
      </c>
      <c r="N68" s="21"/>
      <c r="O68" s="42" t="str">
        <f t="shared" si="32"/>
        <v/>
      </c>
      <c r="P68" s="43">
        <f t="shared" si="33"/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44"/>
      <c r="B69" s="45"/>
      <c r="C69" s="45" t="s">
        <v>15</v>
      </c>
      <c r="D69" s="45"/>
      <c r="E69" s="46">
        <f>SUM(E57:E68)</f>
        <v>12</v>
      </c>
      <c r="F69" s="45"/>
      <c r="G69" s="46">
        <f>SUM(G57:G68)</f>
        <v>11</v>
      </c>
      <c r="H69" s="45"/>
      <c r="I69" s="46">
        <f>SUM(I57:I68)</f>
        <v>2</v>
      </c>
      <c r="J69" s="45"/>
      <c r="K69" s="46">
        <f>SUM(K57:K68)</f>
        <v>14</v>
      </c>
      <c r="L69" s="45"/>
      <c r="M69" s="46">
        <f>SUM(M57:M68)</f>
        <v>11</v>
      </c>
      <c r="N69" s="45"/>
      <c r="O69" s="46">
        <f>SUM(O57:O68)</f>
        <v>14</v>
      </c>
      <c r="P69" s="47">
        <f t="shared" si="33"/>
        <v>64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48"/>
      <c r="B70" s="49"/>
      <c r="C70" s="49" t="s">
        <v>16</v>
      </c>
      <c r="D70" s="49"/>
      <c r="E70" s="50">
        <f>E69/COUNTA(C57:C68)</f>
        <v>1.3333333333333333</v>
      </c>
      <c r="F70" s="50"/>
      <c r="G70" s="50">
        <f>G69/COUNTA(C57:C68)</f>
        <v>1.2222222222222223</v>
      </c>
      <c r="H70" s="50"/>
      <c r="I70" s="50">
        <f>I69/COUNTA(C57:C68)</f>
        <v>0.22222222222222221</v>
      </c>
      <c r="J70" s="50"/>
      <c r="K70" s="50">
        <f>K69/COUNTA(C57:C68)</f>
        <v>1.5555555555555556</v>
      </c>
      <c r="L70" s="50"/>
      <c r="M70" s="50">
        <f>M69/COUNTA(C57:C68)</f>
        <v>1.2222222222222223</v>
      </c>
      <c r="N70" s="50"/>
      <c r="O70" s="50">
        <f>O69/COUNTA(C57:C68)</f>
        <v>1.5555555555555556</v>
      </c>
      <c r="P70" s="51">
        <f>P69/COUNTA(C57:C68)</f>
        <v>7.1111111111111107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5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5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5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5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5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5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5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5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5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5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5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5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5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5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5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5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5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5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5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5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5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5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5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5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5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5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5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5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5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5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5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5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5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5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5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5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5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5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5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5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5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5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5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5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5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5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5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5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5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5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5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5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5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5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5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5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5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5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5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5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5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5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5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5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5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5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5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5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5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5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5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5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5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5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5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5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5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5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5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5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5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5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5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5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5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5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5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5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5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5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5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5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5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5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5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5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5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5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5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5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5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5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5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5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5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5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5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5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5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5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5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5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5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5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5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5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5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5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5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5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5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5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5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5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5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5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5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5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5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5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5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5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5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5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5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5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5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5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5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5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5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5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5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5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5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5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5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5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5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5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5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5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5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5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5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5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5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5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5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5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5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5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5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5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5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5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5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5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5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5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5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5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5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5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5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5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5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5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5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5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5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5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5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5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5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5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5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5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5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5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5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5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5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5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5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5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5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5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5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5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6">
    <mergeCell ref="A54:P54"/>
    <mergeCell ref="H55:I55"/>
    <mergeCell ref="J55:K55"/>
    <mergeCell ref="L55:M55"/>
    <mergeCell ref="N55:O55"/>
    <mergeCell ref="P55:P56"/>
    <mergeCell ref="A55:A56"/>
    <mergeCell ref="B55:B56"/>
    <mergeCell ref="C55:C56"/>
    <mergeCell ref="D55:E55"/>
    <mergeCell ref="F55:G55"/>
    <mergeCell ref="A37:P37"/>
    <mergeCell ref="B38:B39"/>
    <mergeCell ref="C38:C39"/>
    <mergeCell ref="D38:E38"/>
    <mergeCell ref="F38:G38"/>
    <mergeCell ref="H38:I38"/>
    <mergeCell ref="J38:K38"/>
    <mergeCell ref="L38:M38"/>
    <mergeCell ref="N38:O38"/>
    <mergeCell ref="P38:P39"/>
    <mergeCell ref="A38:A39"/>
    <mergeCell ref="A21:A22"/>
    <mergeCell ref="B21:B22"/>
    <mergeCell ref="C21:C22"/>
    <mergeCell ref="A20:P20"/>
    <mergeCell ref="D21:E21"/>
    <mergeCell ref="F21:G21"/>
    <mergeCell ref="H21:I21"/>
    <mergeCell ref="J21:K21"/>
    <mergeCell ref="L21:M21"/>
    <mergeCell ref="N21:O21"/>
    <mergeCell ref="P21:P22"/>
    <mergeCell ref="A1:P1"/>
    <mergeCell ref="A2:P2"/>
    <mergeCell ref="A3:P3"/>
    <mergeCell ref="B4:B5"/>
    <mergeCell ref="C4:C5"/>
    <mergeCell ref="D4:E4"/>
    <mergeCell ref="P4:P5"/>
    <mergeCell ref="A4:A5"/>
    <mergeCell ref="F4:G4"/>
    <mergeCell ref="H4:I4"/>
    <mergeCell ref="J4:K4"/>
    <mergeCell ref="L4:M4"/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MID 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2026-08-26T14:08:10Z</dcterms:modified>
</cp:coreProperties>
</file>